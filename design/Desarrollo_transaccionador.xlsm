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882d691e86f4560/01 Personal/04 Planificaciones/"/>
    </mc:Choice>
  </mc:AlternateContent>
  <xr:revisionPtr revIDLastSave="0" documentId="8_{A6032FC3-14D2-4F21-87E4-3B1F0A37BB7C}" xr6:coauthVersionLast="47" xr6:coauthVersionMax="47" xr10:uidLastSave="{00000000-0000-0000-0000-000000000000}"/>
  <bookViews>
    <workbookView xWindow="-120" yWindow="-120" windowWidth="20730" windowHeight="11160" tabRatio="738" firstSheet="7" activeTab="7" xr2:uid="{DAF55D87-52FA-4314-A5E0-72530B752EB8}"/>
  </bookViews>
  <sheets>
    <sheet name="Principal" sheetId="13" r:id="rId1"/>
    <sheet name="db_transacciones" sheetId="4" r:id="rId2"/>
    <sheet name="view_compra_credito" sheetId="11" r:id="rId3"/>
    <sheet name="view_trans_plan" sheetId="20" r:id="rId4"/>
    <sheet name="db_trans_plan" sheetId="1" r:id="rId5"/>
    <sheet name="view_transferencia" sheetId="16" r:id="rId6"/>
    <sheet name="view_ingreso" sheetId="17" r:id="rId7"/>
    <sheet name="view_gasto" sheetId="15" r:id="rId8"/>
    <sheet name="db_cuentas" sheetId="2" r:id="rId9"/>
    <sheet name="view_pagar_credito" sheetId="19" r:id="rId10"/>
    <sheet name="db_subcategorias" sheetId="10" r:id="rId11"/>
    <sheet name="db_compra_con_credito" sheetId="3" r:id="rId12"/>
  </sheets>
  <externalReferences>
    <externalReference r:id="rId13"/>
  </externalReferences>
  <definedNames>
    <definedName name="Ahorro">db_subcategorias!$B$33:$B$35</definedName>
    <definedName name="Automovil">db_subcategorias!$B$26:$B$32</definedName>
    <definedName name="CATEGORIAS">db_subcategorias!$E$6:$E$15</definedName>
    <definedName name="Comida">db_subcategorias!$B$40:$B$43</definedName>
    <definedName name="Credito">db_cuentas!$B$17:$B$21</definedName>
    <definedName name="CUENTAS">db_cuentas[NOMBRE]</definedName>
    <definedName name="debito">db_cuentas!$C$17:$C$20</definedName>
    <definedName name="Entretención">db_subcategorias!$B$44:$B$46</definedName>
    <definedName name="Estudios">db_subcategorias!$B$8:$B$11</definedName>
    <definedName name="Productos">db_subcategorias!$B$36:$B$39</definedName>
    <definedName name="Salud">db_subcategorias!$B$15:$B$20</definedName>
    <definedName name="Servicios">db_subcategorias!$B$21:$B$25</definedName>
    <definedName name="Transporte">db_subcategorias!$B$12:$B$14</definedName>
    <definedName name="Vivienda">db_subcategorias!$B$2:$B$7</definedName>
  </definedNames>
  <calcPr calcId="191028"/>
  <pivotCaches>
    <pivotCache cacheId="3823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5" l="1"/>
  <c r="B2" i="17"/>
  <c r="B4" i="20"/>
  <c r="B2" i="11"/>
  <c r="E2" i="2" l="1"/>
  <c r="C17" i="2" a="1"/>
  <c r="C17" i="2" s="1"/>
  <c r="B2" i="16"/>
  <c r="B8" i="11"/>
  <c r="B17" i="2" l="1" a="1"/>
  <c r="B17" i="2" s="1"/>
  <c r="F6" i="10" l="1" a="1"/>
  <c r="F6" i="10" s="1"/>
  <c r="E6" i="10" a="1"/>
  <c r="E6" i="10" s="1"/>
  <c r="E12" i="2"/>
  <c r="F12" i="2" s="1"/>
  <c r="E11" i="2"/>
  <c r="F11" i="2" s="1"/>
  <c r="E10" i="2"/>
  <c r="F10" i="2" s="1"/>
  <c r="E9" i="2"/>
  <c r="F9" i="2" s="1"/>
  <c r="E8" i="2"/>
  <c r="F8" i="2" s="1"/>
  <c r="E7" i="2"/>
  <c r="F7" i="2" s="1"/>
  <c r="E6" i="2"/>
  <c r="F6" i="2" s="1"/>
  <c r="E5" i="2"/>
  <c r="F5" i="2" s="1"/>
  <c r="E4" i="2"/>
  <c r="F4" i="2" s="1"/>
  <c r="E3" i="2"/>
  <c r="F3" i="2" s="1"/>
  <c r="F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<sst xmlns="http://schemas.openxmlformats.org/spreadsheetml/2006/main" count="296" uniqueCount="148">
  <si>
    <t>Etiquetas de fila</t>
  </si>
  <si>
    <t>Suma de CARGO</t>
  </si>
  <si>
    <t>Celular</t>
  </si>
  <si>
    <t>Snack</t>
  </si>
  <si>
    <t>Transporte a trabajo</t>
  </si>
  <si>
    <t>Total general</t>
  </si>
  <si>
    <t>ID</t>
  </si>
  <si>
    <t>FECHA</t>
  </si>
  <si>
    <t>CATEGORIA</t>
  </si>
  <si>
    <t>SUBCATEGORIA</t>
  </si>
  <si>
    <t>CUENTA_ORIGEN</t>
  </si>
  <si>
    <t>CUENTA_DESTINO</t>
  </si>
  <si>
    <t>CARGO</t>
  </si>
  <si>
    <t>ABONO</t>
  </si>
  <si>
    <t>BENEFICIADO</t>
  </si>
  <si>
    <t>NOTA</t>
  </si>
  <si>
    <t>TIPO</t>
  </si>
  <si>
    <t>Comida</t>
  </si>
  <si>
    <t>Banco de Chile Cuenta corriente</t>
  </si>
  <si>
    <t>Kiosko Antucoya</t>
  </si>
  <si>
    <t>Helados en el trabajo</t>
  </si>
  <si>
    <t>Gasto</t>
  </si>
  <si>
    <t>Servicios</t>
  </si>
  <si>
    <t>Entel</t>
  </si>
  <si>
    <t>Diciembre</t>
  </si>
  <si>
    <t>Transporte</t>
  </si>
  <si>
    <t>yo</t>
  </si>
  <si>
    <t>Antofa-Copiapo</t>
  </si>
  <si>
    <t>COMPRA CON CRÉDITO</t>
  </si>
  <si>
    <t>Fecha</t>
  </si>
  <si>
    <t>Cuenta de origen</t>
  </si>
  <si>
    <t>CMR Mastercard</t>
  </si>
  <si>
    <t>Categoria</t>
  </si>
  <si>
    <t>Subcategoria</t>
  </si>
  <si>
    <t>Cargo</t>
  </si>
  <si>
    <t>Cuotas</t>
  </si>
  <si>
    <t>Primera fecha</t>
  </si>
  <si>
    <t>Beneficiado</t>
  </si>
  <si>
    <t>Pac</t>
  </si>
  <si>
    <t>si</t>
  </si>
  <si>
    <t>Transacción planificada</t>
  </si>
  <si>
    <t>Frecuencia</t>
  </si>
  <si>
    <t>Recurrente</t>
  </si>
  <si>
    <t>Monto</t>
  </si>
  <si>
    <t>Cuenta</t>
  </si>
  <si>
    <t>Recordar</t>
  </si>
  <si>
    <t>Entretención</t>
  </si>
  <si>
    <t>Repetir</t>
  </si>
  <si>
    <t>Anual</t>
  </si>
  <si>
    <t>Regalo</t>
  </si>
  <si>
    <t>Cada</t>
  </si>
  <si>
    <t>Javier Araya</t>
  </si>
  <si>
    <t>Hasta</t>
  </si>
  <si>
    <t>Nunca</t>
  </si>
  <si>
    <t>Nota</t>
  </si>
  <si>
    <t>Cumpleaños</t>
  </si>
  <si>
    <t>Final</t>
  </si>
  <si>
    <t>Transacciones planificadas</t>
  </si>
  <si>
    <t>Tipo</t>
  </si>
  <si>
    <t>Fecha2</t>
  </si>
  <si>
    <t>|</t>
  </si>
  <si>
    <t xml:space="preserve">TRANSFERENCIA ENTRE CUENTAS </t>
  </si>
  <si>
    <t>Banco Estado Cuenta rut</t>
  </si>
  <si>
    <t>Cuenta de destino</t>
  </si>
  <si>
    <t>Banco Estado cuenta corriente</t>
  </si>
  <si>
    <t>Estudios</t>
  </si>
  <si>
    <t>Spotify</t>
  </si>
  <si>
    <t>Abono</t>
  </si>
  <si>
    <t>GASTO</t>
  </si>
  <si>
    <t>NOMBRE</t>
  </si>
  <si>
    <t>CUPO_CREDITO</t>
  </si>
  <si>
    <t>CREDITO_UTILIZADO</t>
  </si>
  <si>
    <t>CREDITO_DISPONIBLE</t>
  </si>
  <si>
    <t>DEBITO</t>
  </si>
  <si>
    <t>INSTITUCIÓN_BANCARIA</t>
  </si>
  <si>
    <t>SERVICIO_INTERNACIONAL</t>
  </si>
  <si>
    <t>FECHA DE PAGO</t>
  </si>
  <si>
    <t>INICIO PERIODO FACTURADO</t>
  </si>
  <si>
    <t>TERMINO PERIODO FACTURADO</t>
  </si>
  <si>
    <t>FECHA FACTURACIÓN</t>
  </si>
  <si>
    <t>COMISIÓN</t>
  </si>
  <si>
    <t>Credito</t>
  </si>
  <si>
    <t>CMR</t>
  </si>
  <si>
    <t>Mastercard</t>
  </si>
  <si>
    <t>7 DEL MES SIGUIENTE</t>
  </si>
  <si>
    <t>Banco Estado Mastercard Nacional CLP</t>
  </si>
  <si>
    <t>Banco Estado</t>
  </si>
  <si>
    <t>Mastercard Nacional CLP</t>
  </si>
  <si>
    <t>Banco Estado Mastercard Internacional USD</t>
  </si>
  <si>
    <t>Mastercard Internacional USD</t>
  </si>
  <si>
    <t>Banco de Chile VISA Platinium Nacional CLP</t>
  </si>
  <si>
    <t>Banco de Chile</t>
  </si>
  <si>
    <t>VISA Platinium Nacional CLP</t>
  </si>
  <si>
    <t>Banco de Chile VISA Platinium Internacional USD</t>
  </si>
  <si>
    <t>VISA Platinium Internacional USD</t>
  </si>
  <si>
    <t>Debito</t>
  </si>
  <si>
    <t>Banco Estado ahorro vivienda</t>
  </si>
  <si>
    <t>Ahorro</t>
  </si>
  <si>
    <t>Efectivo</t>
  </si>
  <si>
    <t>Fuera del sistema</t>
  </si>
  <si>
    <t>Desconocido</t>
  </si>
  <si>
    <t>Arriendo</t>
  </si>
  <si>
    <t>Vivienda</t>
  </si>
  <si>
    <t>Agua</t>
  </si>
  <si>
    <t>Luz</t>
  </si>
  <si>
    <t>Gas</t>
  </si>
  <si>
    <t>Insumos hogar</t>
  </si>
  <si>
    <t>Alojamiento</t>
  </si>
  <si>
    <t>Libros</t>
  </si>
  <si>
    <t>Ing.Industrial</t>
  </si>
  <si>
    <t>Ingles</t>
  </si>
  <si>
    <t>Cursos</t>
  </si>
  <si>
    <t>Transporte por viajes</t>
  </si>
  <si>
    <t>Uber</t>
  </si>
  <si>
    <t>Insumos higiene</t>
  </si>
  <si>
    <t>Salud</t>
  </si>
  <si>
    <t>Medico</t>
  </si>
  <si>
    <t>Medicamentos</t>
  </si>
  <si>
    <t>Deporte</t>
  </si>
  <si>
    <t>Corte de pelo</t>
  </si>
  <si>
    <t>Dentista</t>
  </si>
  <si>
    <t>Netflix</t>
  </si>
  <si>
    <t>Youtube</t>
  </si>
  <si>
    <t>SCRIBD</t>
  </si>
  <si>
    <t>Limpieza</t>
  </si>
  <si>
    <t>Automovil</t>
  </si>
  <si>
    <t>Combustible</t>
  </si>
  <si>
    <t>Permiso de circulación</t>
  </si>
  <si>
    <t>Revición técnica</t>
  </si>
  <si>
    <t>SOAP</t>
  </si>
  <si>
    <t>Estacionamiento</t>
  </si>
  <si>
    <t>Otros</t>
  </si>
  <si>
    <t>Contingencias</t>
  </si>
  <si>
    <t>Vacaciones</t>
  </si>
  <si>
    <t>Herramientas</t>
  </si>
  <si>
    <t>Productos</t>
  </si>
  <si>
    <t>Tecnologicos</t>
  </si>
  <si>
    <t>Ropa y zapatos</t>
  </si>
  <si>
    <t>Mercadería</t>
  </si>
  <si>
    <t>Bar, restaurant</t>
  </si>
  <si>
    <t>Delivery</t>
  </si>
  <si>
    <t>Cine, teatro, conciertos</t>
  </si>
  <si>
    <t>Celebración</t>
  </si>
  <si>
    <t>CUOTAS</t>
  </si>
  <si>
    <t>PRIMERA_FECHA</t>
  </si>
  <si>
    <t>PAC</t>
  </si>
  <si>
    <t>VALOR_CUOTA</t>
  </si>
  <si>
    <t>COSTO_TOTAL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</si>
</sst>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[$$-340A]#,##0"/>
  </numFmts>
  <fonts count="12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3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4" tint="0.39997558519241921"/>
      </top>
      <bottom style="thin">
        <color theme="5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4" tint="0.3999755851924192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9" fontId="10" fillId="0" borderId="0" applyFont="0" applyFill="0" applyBorder="0" applyAlignment="0" applyProtection="0"/>
  </cellStyleXfs>
  <cellXfs count="8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right" vertical="center"/>
    </xf>
    <xf numFmtId="165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right"/>
    </xf>
    <xf numFmtId="0" fontId="1" fillId="2" borderId="1" xfId="0" applyFont="1" applyFill="1" applyBorder="1"/>
    <xf numFmtId="0" fontId="2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 vertical="top"/>
    </xf>
    <xf numFmtId="164" fontId="2" fillId="2" borderId="2" xfId="0" applyNumberFormat="1" applyFont="1" applyFill="1" applyBorder="1" applyAlignment="1">
      <alignment horizontal="left"/>
    </xf>
    <xf numFmtId="164" fontId="2" fillId="2" borderId="3" xfId="0" applyNumberFormat="1" applyFont="1" applyFill="1" applyBorder="1" applyAlignment="1">
      <alignment horizontal="left"/>
    </xf>
    <xf numFmtId="0" fontId="0" fillId="3" borderId="6" xfId="0" applyFill="1" applyBorder="1"/>
    <xf numFmtId="0" fontId="0" fillId="4" borderId="6" xfId="0" applyFill="1" applyBorder="1"/>
    <xf numFmtId="0" fontId="0" fillId="5" borderId="6" xfId="0" applyFill="1" applyBorder="1"/>
    <xf numFmtId="0" fontId="0" fillId="11" borderId="6" xfId="0" applyFill="1" applyBorder="1"/>
    <xf numFmtId="0" fontId="0" fillId="6" borderId="6" xfId="0" applyFill="1" applyBorder="1"/>
    <xf numFmtId="0" fontId="0" fillId="7" borderId="6" xfId="0" applyFill="1" applyBorder="1"/>
    <xf numFmtId="0" fontId="0" fillId="8" borderId="6" xfId="0" applyFill="1" applyBorder="1"/>
    <xf numFmtId="0" fontId="0" fillId="9" borderId="6" xfId="0" applyFill="1" applyBorder="1"/>
    <xf numFmtId="0" fontId="0" fillId="10" borderId="6" xfId="0" applyFill="1" applyBorder="1"/>
    <xf numFmtId="0" fontId="4" fillId="0" borderId="4" xfId="0" applyFont="1" applyBorder="1" applyAlignment="1">
      <alignment horizontal="left" vertical="center"/>
    </xf>
    <xf numFmtId="0" fontId="4" fillId="0" borderId="4" xfId="0" applyFont="1" applyBorder="1" applyAlignment="1">
      <alignment horizontal="left"/>
    </xf>
    <xf numFmtId="0" fontId="0" fillId="0" borderId="5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12" borderId="0" xfId="0" applyFill="1"/>
    <xf numFmtId="0" fontId="1" fillId="12" borderId="0" xfId="0" applyFont="1" applyFill="1" applyAlignment="1">
      <alignment horizontal="right"/>
    </xf>
    <xf numFmtId="14" fontId="1" fillId="12" borderId="8" xfId="0" applyNumberFormat="1" applyFont="1" applyFill="1" applyBorder="1" applyAlignment="1">
      <alignment horizontal="left"/>
    </xf>
    <xf numFmtId="0" fontId="1" fillId="12" borderId="8" xfId="0" applyFont="1" applyFill="1" applyBorder="1"/>
    <xf numFmtId="165" fontId="1" fillId="12" borderId="8" xfId="0" applyNumberFormat="1" applyFont="1" applyFill="1" applyBorder="1"/>
    <xf numFmtId="1" fontId="1" fillId="12" borderId="8" xfId="0" applyNumberFormat="1" applyFont="1" applyFill="1" applyBorder="1" applyAlignment="1">
      <alignment horizontal="left"/>
    </xf>
    <xf numFmtId="0" fontId="0" fillId="13" borderId="0" xfId="0" applyFill="1"/>
    <xf numFmtId="0" fontId="1" fillId="13" borderId="0" xfId="0" applyFont="1" applyFill="1" applyAlignment="1">
      <alignment horizontal="right"/>
    </xf>
    <xf numFmtId="14" fontId="1" fillId="13" borderId="8" xfId="0" applyNumberFormat="1" applyFont="1" applyFill="1" applyBorder="1" applyAlignment="1">
      <alignment horizontal="left"/>
    </xf>
    <xf numFmtId="0" fontId="1" fillId="13" borderId="8" xfId="0" applyFont="1" applyFill="1" applyBorder="1"/>
    <xf numFmtId="0" fontId="7" fillId="13" borderId="0" xfId="0" applyFont="1" applyFill="1"/>
    <xf numFmtId="0" fontId="6" fillId="12" borderId="0" xfId="0" applyFont="1" applyFill="1"/>
    <xf numFmtId="0" fontId="0" fillId="14" borderId="0" xfId="0" applyFill="1"/>
    <xf numFmtId="0" fontId="1" fillId="14" borderId="0" xfId="0" applyFont="1" applyFill="1" applyAlignment="1">
      <alignment horizontal="right"/>
    </xf>
    <xf numFmtId="14" fontId="1" fillId="14" borderId="8" xfId="0" applyNumberFormat="1" applyFont="1" applyFill="1" applyBorder="1" applyAlignment="1">
      <alignment horizontal="left"/>
    </xf>
    <xf numFmtId="0" fontId="1" fillId="14" borderId="8" xfId="0" applyFont="1" applyFill="1" applyBorder="1"/>
    <xf numFmtId="165" fontId="1" fillId="14" borderId="8" xfId="0" applyNumberFormat="1" applyFont="1" applyFill="1" applyBorder="1"/>
    <xf numFmtId="165" fontId="1" fillId="13" borderId="8" xfId="0" applyNumberFormat="1" applyFont="1" applyFill="1" applyBorder="1" applyAlignment="1">
      <alignment horizontal="left"/>
    </xf>
    <xf numFmtId="0" fontId="0" fillId="15" borderId="0" xfId="0" applyFill="1"/>
    <xf numFmtId="0" fontId="1" fillId="15" borderId="0" xfId="0" applyFont="1" applyFill="1" applyAlignment="1">
      <alignment horizontal="right"/>
    </xf>
    <xf numFmtId="14" fontId="1" fillId="15" borderId="8" xfId="0" applyNumberFormat="1" applyFont="1" applyFill="1" applyBorder="1" applyAlignment="1">
      <alignment horizontal="left"/>
    </xf>
    <xf numFmtId="0" fontId="1" fillId="15" borderId="8" xfId="0" applyFont="1" applyFill="1" applyBorder="1"/>
    <xf numFmtId="165" fontId="1" fillId="15" borderId="8" xfId="0" applyNumberFormat="1" applyFont="1" applyFill="1" applyBorder="1" applyAlignment="1">
      <alignment horizontal="left"/>
    </xf>
    <xf numFmtId="14" fontId="0" fillId="0" borderId="0" xfId="0" applyNumberFormat="1"/>
    <xf numFmtId="0" fontId="8" fillId="0" borderId="0" xfId="0" applyFont="1"/>
    <xf numFmtId="0" fontId="9" fillId="0" borderId="0" xfId="0" applyFont="1" applyAlignment="1">
      <alignment horizontal="left"/>
    </xf>
    <xf numFmtId="164" fontId="9" fillId="0" borderId="0" xfId="0" applyNumberFormat="1" applyFont="1" applyAlignment="1">
      <alignment horizontal="left"/>
    </xf>
    <xf numFmtId="0" fontId="9" fillId="0" borderId="0" xfId="0" applyFont="1" applyAlignment="1">
      <alignment horizontal="left" vertical="top"/>
    </xf>
    <xf numFmtId="0" fontId="5" fillId="0" borderId="0" xfId="0" applyFont="1"/>
    <xf numFmtId="14" fontId="2" fillId="2" borderId="2" xfId="0" applyNumberFormat="1" applyFont="1" applyFill="1" applyBorder="1" applyAlignment="1">
      <alignment horizontal="left"/>
    </xf>
    <xf numFmtId="14" fontId="9" fillId="0" borderId="0" xfId="0" applyNumberFormat="1" applyFont="1" applyAlignment="1">
      <alignment horizontal="left"/>
    </xf>
    <xf numFmtId="0" fontId="2" fillId="14" borderId="0" xfId="0" applyFont="1" applyFill="1" applyAlignment="1">
      <alignment wrapText="1"/>
    </xf>
    <xf numFmtId="0" fontId="6" fillId="15" borderId="0" xfId="0" applyFont="1" applyFill="1" applyAlignment="1">
      <alignment horizontal="left"/>
    </xf>
    <xf numFmtId="0" fontId="0" fillId="16" borderId="0" xfId="0" applyFill="1"/>
    <xf numFmtId="9" fontId="0" fillId="0" borderId="0" xfId="1" applyFont="1"/>
    <xf numFmtId="0" fontId="0" fillId="17" borderId="0" xfId="0" applyFill="1"/>
    <xf numFmtId="0" fontId="1" fillId="17" borderId="0" xfId="0" applyFont="1" applyFill="1" applyAlignment="1">
      <alignment horizontal="right"/>
    </xf>
    <xf numFmtId="14" fontId="1" fillId="17" borderId="8" xfId="0" applyNumberFormat="1" applyFont="1" applyFill="1" applyBorder="1" applyAlignment="1">
      <alignment horizontal="left"/>
    </xf>
    <xf numFmtId="0" fontId="1" fillId="17" borderId="8" xfId="0" applyFont="1" applyFill="1" applyBorder="1"/>
    <xf numFmtId="165" fontId="1" fillId="17" borderId="8" xfId="0" applyNumberFormat="1" applyFont="1" applyFill="1" applyBorder="1"/>
    <xf numFmtId="14" fontId="1" fillId="17" borderId="0" xfId="0" applyNumberFormat="1" applyFont="1" applyFill="1" applyAlignment="1">
      <alignment horizontal="left"/>
    </xf>
    <xf numFmtId="0" fontId="1" fillId="17" borderId="0" xfId="0" applyFont="1" applyFill="1"/>
    <xf numFmtId="165" fontId="1" fillId="17" borderId="0" xfId="0" applyNumberFormat="1" applyFont="1" applyFill="1"/>
    <xf numFmtId="0" fontId="6" fillId="17" borderId="0" xfId="0" applyFont="1" applyFill="1" applyAlignment="1">
      <alignment horizontal="centerContinuous" vertical="center"/>
    </xf>
    <xf numFmtId="165" fontId="1" fillId="17" borderId="8" xfId="0" applyNumberFormat="1" applyFont="1" applyFill="1" applyBorder="1" applyAlignment="1">
      <alignment horizontal="left"/>
    </xf>
    <xf numFmtId="14" fontId="1" fillId="17" borderId="0" xfId="0" applyNumberFormat="1" applyFont="1" applyFill="1"/>
    <xf numFmtId="0" fontId="11" fillId="0" borderId="0" xfId="0" applyFont="1" applyAlignment="1">
      <alignment horizontal="left"/>
    </xf>
    <xf numFmtId="0" fontId="11" fillId="0" borderId="0" xfId="0" applyFont="1"/>
    <xf numFmtId="0" fontId="0" fillId="16" borderId="0" xfId="0" applyFill="1" applyAlignment="1">
      <alignment horizontal="left"/>
    </xf>
    <xf numFmtId="0" fontId="1" fillId="17" borderId="0" xfId="0" applyFont="1" applyFill="1" applyAlignment="1">
      <alignment horizontal="left"/>
    </xf>
    <xf numFmtId="0" fontId="1" fillId="0" borderId="8" xfId="0" applyFont="1" applyBorder="1"/>
    <xf numFmtId="0" fontId="11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</cellXfs>
  <cellStyles count="2">
    <cellStyle name="Normal" xfId="0" builtinId="0"/>
    <cellStyle name="Porcentaje" xfId="1" builtinId="5"/>
  </cellStyles>
  <dxfs count="60">
    <dxf>
      <fill>
        <patternFill patternType="none">
          <fgColor indexed="64"/>
          <bgColor auto="1"/>
        </patternFill>
      </fill>
      <border outline="0">
        <left style="thin">
          <color theme="5" tint="0.39997558519241921"/>
        </left>
      </border>
    </dxf>
    <dxf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/>
        <right style="thin">
          <color theme="5" tint="0.39997558519241921"/>
        </right>
        <top style="thin">
          <color theme="4" tint="0.39997558519241921"/>
        </top>
        <bottom style="thin">
          <color theme="5" tint="0.3999755851924192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outline="0">
        <right style="thin">
          <color theme="5" tint="0.39997558519241921"/>
        </right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5" formatCode="[$$-340A]#,##0"/>
    </dxf>
    <dxf>
      <numFmt numFmtId="164" formatCode="&quot;$&quot;#,##0"/>
      <fill>
        <patternFill patternType="none">
          <fgColor indexed="64"/>
          <bgColor auto="1"/>
        </patternFill>
      </fill>
    </dxf>
    <dxf>
      <numFmt numFmtId="165" formatCode="[$$-340A]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5" formatCode="[$$-340A]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[$$-340A]#,##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[$$-340A]#,##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64" formatCode="&quot;$&quot;#,##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fill>
        <patternFill>
          <bgColor theme="2" tint="-0.89999084444715716"/>
        </patternFill>
      </fill>
    </dxf>
    <dxf>
      <fill>
        <patternFill>
          <bgColor theme="2" tint="-0.89999084444715716"/>
        </patternFill>
      </fill>
    </dxf>
    <dxf>
      <fill>
        <patternFill>
          <bgColor theme="2" tint="-0.89999084444715716"/>
        </patternFill>
      </fill>
    </dxf>
    <dxf>
      <fill>
        <patternFill>
          <bgColor theme="2" tint="-0.89999084444715716"/>
        </patternFill>
      </fill>
    </dxf>
    <dxf>
      <fill>
        <patternFill>
          <bgColor theme="2" tint="-0.89999084444715716"/>
        </patternFill>
      </fill>
    </dxf>
    <dxf>
      <fill>
        <patternFill>
          <bgColor theme="2" tint="-0.89999084444715716"/>
        </patternFill>
      </fill>
    </dxf>
  </dxfs>
  <tableStyles count="0" defaultTableStyle="TableStyleMedium2" defaultPivotStyle="PivotStyleLight16"/>
  <colors>
    <mruColors>
      <color rgb="FF009999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view_transferencia!A1"/><Relationship Id="rId2" Type="http://schemas.openxmlformats.org/officeDocument/2006/relationships/hyperlink" Target="#view_ingreso!A1"/><Relationship Id="rId1" Type="http://schemas.openxmlformats.org/officeDocument/2006/relationships/hyperlink" Target="#view_gasto!A1"/><Relationship Id="rId4" Type="http://schemas.openxmlformats.org/officeDocument/2006/relationships/hyperlink" Target="#view_compra_credito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6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hyperlink" Target="#Principal!A1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rincipal!A1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view_compra_credito!A1"/><Relationship Id="rId3" Type="http://schemas.openxmlformats.org/officeDocument/2006/relationships/hyperlink" Target="#Principal!A1"/><Relationship Id="rId7" Type="http://schemas.openxmlformats.org/officeDocument/2006/relationships/hyperlink" Target="#view_ingreso!A1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hyperlink" Target="#view_gasto!A1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view_compra_credito!A1"/><Relationship Id="rId3" Type="http://schemas.openxmlformats.org/officeDocument/2006/relationships/hyperlink" Target="#Principal!A1"/><Relationship Id="rId7" Type="http://schemas.openxmlformats.org/officeDocument/2006/relationships/hyperlink" Target="#view_transferencia!A1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hyperlink" Target="#view_gasto!A1"/><Relationship Id="rId5" Type="http://schemas.openxmlformats.org/officeDocument/2006/relationships/image" Target="../media/image6.svg"/><Relationship Id="rId10" Type="http://schemas.openxmlformats.org/officeDocument/2006/relationships/image" Target="../media/image8.svg"/><Relationship Id="rId4" Type="http://schemas.openxmlformats.org/officeDocument/2006/relationships/image" Target="../media/image5.png"/><Relationship Id="rId9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view_compra_credito!A1"/><Relationship Id="rId3" Type="http://schemas.openxmlformats.org/officeDocument/2006/relationships/hyperlink" Target="#Principal!A1"/><Relationship Id="rId7" Type="http://schemas.openxmlformats.org/officeDocument/2006/relationships/hyperlink" Target="#view_ingreso!A1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hyperlink" Target="#view_transferencia!A1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95248</xdr:colOff>
      <xdr:row>3</xdr:row>
      <xdr:rowOff>38100</xdr:rowOff>
    </xdr:from>
    <xdr:to>
      <xdr:col>1</xdr:col>
      <xdr:colOff>665248</xdr:colOff>
      <xdr:row>5</xdr:row>
      <xdr:rowOff>53100</xdr:rowOff>
    </xdr:to>
    <xdr:sp macro="" textlink="">
      <xdr:nvSpPr>
        <xdr:cNvPr id="6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72C2ACA-568F-455E-8729-B7BAB40D7655}"/>
            </a:ext>
          </a:extLst>
        </xdr:cNvPr>
        <xdr:cNvSpPr/>
      </xdr:nvSpPr>
      <xdr:spPr>
        <a:xfrm>
          <a:off x="95248" y="609600"/>
          <a:ext cx="1332000" cy="396000"/>
        </a:xfrm>
        <a:prstGeom prst="roundRect">
          <a:avLst/>
        </a:prstGeom>
        <a:solidFill>
          <a:srgbClr val="009999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Gasto</a:t>
          </a:r>
        </a:p>
        <a:p>
          <a:pPr algn="ctr"/>
          <a:endParaRPr lang="es-CL" sz="1400" b="1"/>
        </a:p>
      </xdr:txBody>
    </xdr:sp>
    <xdr:clientData/>
  </xdr:twoCellAnchor>
  <xdr:twoCellAnchor>
    <xdr:from>
      <xdr:col>0</xdr:col>
      <xdr:colOff>85724</xdr:colOff>
      <xdr:row>5</xdr:row>
      <xdr:rowOff>123826</xdr:rowOff>
    </xdr:from>
    <xdr:to>
      <xdr:col>1</xdr:col>
      <xdr:colOff>655724</xdr:colOff>
      <xdr:row>7</xdr:row>
      <xdr:rowOff>138826</xdr:rowOff>
    </xdr:to>
    <xdr:sp macro="" textlink="">
      <xdr:nvSpPr>
        <xdr:cNvPr id="7" name="Rectángulo: esquinas redondeada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E47EBEE-4AC3-421D-B9DA-598014D575A8}"/>
            </a:ext>
          </a:extLst>
        </xdr:cNvPr>
        <xdr:cNvSpPr/>
      </xdr:nvSpPr>
      <xdr:spPr>
        <a:xfrm>
          <a:off x="85724" y="1076326"/>
          <a:ext cx="1332000" cy="396000"/>
        </a:xfrm>
        <a:prstGeom prst="roundRect">
          <a:avLst/>
        </a:prstGeom>
        <a:solidFill>
          <a:srgbClr val="009999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Ingreso</a:t>
          </a:r>
        </a:p>
        <a:p>
          <a:pPr algn="ctr"/>
          <a:endParaRPr lang="es-CL" sz="1400" b="1"/>
        </a:p>
      </xdr:txBody>
    </xdr:sp>
    <xdr:clientData/>
  </xdr:twoCellAnchor>
  <xdr:twoCellAnchor>
    <xdr:from>
      <xdr:col>0</xdr:col>
      <xdr:colOff>104775</xdr:colOff>
      <xdr:row>0</xdr:row>
      <xdr:rowOff>152399</xdr:rowOff>
    </xdr:from>
    <xdr:to>
      <xdr:col>1</xdr:col>
      <xdr:colOff>674775</xdr:colOff>
      <xdr:row>2</xdr:row>
      <xdr:rowOff>167399</xdr:rowOff>
    </xdr:to>
    <xdr:sp macro="" textlink="">
      <xdr:nvSpPr>
        <xdr:cNvPr id="8" name="Rectángulo: esquinas redondeada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CF8CAD7-5C9D-49F1-A209-5A506A66A144}"/>
            </a:ext>
          </a:extLst>
        </xdr:cNvPr>
        <xdr:cNvSpPr/>
      </xdr:nvSpPr>
      <xdr:spPr>
        <a:xfrm>
          <a:off x="104775" y="152399"/>
          <a:ext cx="1332000" cy="396000"/>
        </a:xfrm>
        <a:prstGeom prst="roundRect">
          <a:avLst/>
        </a:prstGeom>
        <a:solidFill>
          <a:srgbClr val="009999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400" b="1"/>
            <a:t>Transferencia</a:t>
          </a:r>
        </a:p>
        <a:p>
          <a:pPr algn="l"/>
          <a:endParaRPr lang="es-CL" sz="1400" b="1"/>
        </a:p>
      </xdr:txBody>
    </xdr:sp>
    <xdr:clientData/>
  </xdr:twoCellAnchor>
  <xdr:twoCellAnchor>
    <xdr:from>
      <xdr:col>0</xdr:col>
      <xdr:colOff>76200</xdr:colOff>
      <xdr:row>8</xdr:row>
      <xdr:rowOff>9525</xdr:rowOff>
    </xdr:from>
    <xdr:to>
      <xdr:col>1</xdr:col>
      <xdr:colOff>646200</xdr:colOff>
      <xdr:row>10</xdr:row>
      <xdr:rowOff>24525</xdr:rowOff>
    </xdr:to>
    <xdr:sp macro="" textlink="">
      <xdr:nvSpPr>
        <xdr:cNvPr id="9" name="Rectángulo: esquinas redondeada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37A1084-C9C2-4B15-97CE-2967315A1765}"/>
            </a:ext>
          </a:extLst>
        </xdr:cNvPr>
        <xdr:cNvSpPr/>
      </xdr:nvSpPr>
      <xdr:spPr>
        <a:xfrm>
          <a:off x="76200" y="1533525"/>
          <a:ext cx="1332000" cy="396000"/>
        </a:xfrm>
        <a:prstGeom prst="roundRect">
          <a:avLst/>
        </a:prstGeom>
        <a:solidFill>
          <a:srgbClr val="009999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Crédito</a:t>
          </a:r>
        </a:p>
        <a:p>
          <a:pPr algn="ctr"/>
          <a:endParaRPr lang="es-CL" sz="1400" b="1"/>
        </a:p>
      </xdr:txBody>
    </xdr:sp>
    <xdr:clientData/>
  </xdr:twoCellAnchor>
  <xdr:twoCellAnchor>
    <xdr:from>
      <xdr:col>14</xdr:col>
      <xdr:colOff>542925</xdr:colOff>
      <xdr:row>0</xdr:row>
      <xdr:rowOff>180975</xdr:rowOff>
    </xdr:from>
    <xdr:to>
      <xdr:col>16</xdr:col>
      <xdr:colOff>350925</xdr:colOff>
      <xdr:row>4</xdr:row>
      <xdr:rowOff>104775</xdr:rowOff>
    </xdr:to>
    <xdr:sp macro="[0]!boton_plan_gasto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A25CE44-7003-400F-A663-D46F0DE30992}"/>
            </a:ext>
          </a:extLst>
        </xdr:cNvPr>
        <xdr:cNvSpPr/>
      </xdr:nvSpPr>
      <xdr:spPr>
        <a:xfrm>
          <a:off x="11210925" y="180975"/>
          <a:ext cx="1332000" cy="685800"/>
        </a:xfrm>
        <a:prstGeom prst="roundRect">
          <a:avLst/>
        </a:prstGeom>
        <a:solidFill>
          <a:srgbClr val="009999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/>
            <a:t>Pago programado</a:t>
          </a:r>
        </a:p>
        <a:p>
          <a:pPr algn="ctr"/>
          <a:endParaRPr lang="es-CL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2</xdr:col>
      <xdr:colOff>0</xdr:colOff>
      <xdr:row>5</xdr:row>
      <xdr:rowOff>152400</xdr:rowOff>
    </xdr:to>
    <xdr:pic>
      <xdr:nvPicPr>
        <xdr:cNvPr id="3" name="Gráfico 2" descr="Cerrar con relleno sólido">
          <a:extLst>
            <a:ext uri="{FF2B5EF4-FFF2-40B4-BE49-F238E27FC236}">
              <a16:creationId xmlns:a16="http://schemas.microsoft.com/office/drawing/2014/main" id="{DF16BAF1-8301-49C8-A6CE-5FC3A6DFC1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50" y="0"/>
          <a:ext cx="0" cy="914400"/>
        </a:xfrm>
        <a:prstGeom prst="rect">
          <a:avLst/>
        </a:prstGeom>
      </xdr:spPr>
    </xdr:pic>
    <xdr:clientData/>
  </xdr:twoCellAnchor>
  <xdr:twoCellAnchor editAs="oneCell">
    <xdr:from>
      <xdr:col>1</xdr:col>
      <xdr:colOff>2500973</xdr:colOff>
      <xdr:row>0</xdr:row>
      <xdr:rowOff>0</xdr:rowOff>
    </xdr:from>
    <xdr:to>
      <xdr:col>1</xdr:col>
      <xdr:colOff>2857500</xdr:colOff>
      <xdr:row>0</xdr:row>
      <xdr:rowOff>356527</xdr:rowOff>
    </xdr:to>
    <xdr:pic>
      <xdr:nvPicPr>
        <xdr:cNvPr id="7" name="Gráfico 6" descr="Marca de insignia1 con relleno sólido">
          <a:extLst>
            <a:ext uri="{FF2B5EF4-FFF2-40B4-BE49-F238E27FC236}">
              <a16:creationId xmlns:a16="http://schemas.microsoft.com/office/drawing/2014/main" id="{76C43009-7927-46F1-A424-4C6609DBA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70431" y="0"/>
          <a:ext cx="356527" cy="356527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137583</xdr:colOff>
      <xdr:row>0</xdr:row>
      <xdr:rowOff>1</xdr:rowOff>
    </xdr:from>
    <xdr:to>
      <xdr:col>0</xdr:col>
      <xdr:colOff>506015</xdr:colOff>
      <xdr:row>0</xdr:row>
      <xdr:rowOff>368433</xdr:rowOff>
    </xdr:to>
    <xdr:pic>
      <xdr:nvPicPr>
        <xdr:cNvPr id="9" name="Gráfico 8" descr="Insignia de cruz con relleno sólid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7138E1C-2F41-4E74-A66D-BD983FCFE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7583" y="1"/>
          <a:ext cx="368432" cy="368432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1002632</xdr:colOff>
      <xdr:row>0</xdr:row>
      <xdr:rowOff>38501</xdr:rowOff>
    </xdr:from>
    <xdr:to>
      <xdr:col>1</xdr:col>
      <xdr:colOff>538732</xdr:colOff>
      <xdr:row>0</xdr:row>
      <xdr:rowOff>259080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8F7002D9-27B6-4F99-B961-07DA69D0C2C6}"/>
            </a:ext>
          </a:extLst>
        </xdr:cNvPr>
        <xdr:cNvSpPr/>
      </xdr:nvSpPr>
      <xdr:spPr>
        <a:xfrm>
          <a:off x="1002632" y="38501"/>
          <a:ext cx="709179" cy="220579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GASTO</a:t>
          </a:r>
        </a:p>
      </xdr:txBody>
    </xdr:sp>
    <xdr:clientData/>
  </xdr:twoCellAnchor>
  <xdr:twoCellAnchor>
    <xdr:from>
      <xdr:col>1</xdr:col>
      <xdr:colOff>550762</xdr:colOff>
      <xdr:row>0</xdr:row>
      <xdr:rowOff>35493</xdr:rowOff>
    </xdr:from>
    <xdr:to>
      <xdr:col>1</xdr:col>
      <xdr:colOff>1335823</xdr:colOff>
      <xdr:row>0</xdr:row>
      <xdr:rowOff>256072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BEE87EE8-B7FE-474D-8A8A-08556FF502FD}"/>
            </a:ext>
          </a:extLst>
        </xdr:cNvPr>
        <xdr:cNvSpPr/>
      </xdr:nvSpPr>
      <xdr:spPr>
        <a:xfrm>
          <a:off x="1723841" y="35493"/>
          <a:ext cx="785061" cy="220579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INGRESO</a:t>
          </a:r>
        </a:p>
      </xdr:txBody>
    </xdr:sp>
    <xdr:clientData/>
  </xdr:twoCellAnchor>
  <xdr:twoCellAnchor>
    <xdr:from>
      <xdr:col>1</xdr:col>
      <xdr:colOff>1344847</xdr:colOff>
      <xdr:row>0</xdr:row>
      <xdr:rowOff>35092</xdr:rowOff>
    </xdr:from>
    <xdr:to>
      <xdr:col>1</xdr:col>
      <xdr:colOff>2129908</xdr:colOff>
      <xdr:row>0</xdr:row>
      <xdr:rowOff>255671</xdr:rowOff>
    </xdr:to>
    <xdr:sp macro="[0]!Rectánguloesquinasredondeadas7_Haga_clic_en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547B17D7-42E1-45D9-AEF8-50AA7162840B}"/>
            </a:ext>
          </a:extLst>
        </xdr:cNvPr>
        <xdr:cNvSpPr/>
      </xdr:nvSpPr>
      <xdr:spPr>
        <a:xfrm>
          <a:off x="2517926" y="35092"/>
          <a:ext cx="785061" cy="220579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CRÉDITO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1314429</xdr:colOff>
      <xdr:row>0</xdr:row>
      <xdr:rowOff>27214</xdr:rowOff>
    </xdr:from>
    <xdr:to>
      <xdr:col>4</xdr:col>
      <xdr:colOff>1669954</xdr:colOff>
      <xdr:row>0</xdr:row>
      <xdr:rowOff>393175</xdr:rowOff>
    </xdr:to>
    <xdr:pic macro="[0]!crear_trans_plan">
      <xdr:nvPicPr>
        <xdr:cNvPr id="2" name="Gráfico 1" descr="Marca de insignia1 con relleno sólido">
          <a:extLst>
            <a:ext uri="{FF2B5EF4-FFF2-40B4-BE49-F238E27FC236}">
              <a16:creationId xmlns:a16="http://schemas.microsoft.com/office/drawing/2014/main" id="{FBC015EB-D147-46A1-8C56-FD103F5F9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233286" y="27214"/>
          <a:ext cx="355525" cy="365961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137583</xdr:colOff>
      <xdr:row>0</xdr:row>
      <xdr:rowOff>1</xdr:rowOff>
    </xdr:from>
    <xdr:to>
      <xdr:col>0</xdr:col>
      <xdr:colOff>506015</xdr:colOff>
      <xdr:row>1</xdr:row>
      <xdr:rowOff>10351</xdr:rowOff>
    </xdr:to>
    <xdr:pic>
      <xdr:nvPicPr>
        <xdr:cNvPr id="3" name="Gráfico 2" descr="Insignia de cruz con relleno sólid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710AF74-97D0-4C13-AD15-6D5C8B387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37583" y="1"/>
          <a:ext cx="368432" cy="368432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</xdr:col>
      <xdr:colOff>576513</xdr:colOff>
      <xdr:row>0</xdr:row>
      <xdr:rowOff>151894</xdr:rowOff>
    </xdr:from>
    <xdr:to>
      <xdr:col>1</xdr:col>
      <xdr:colOff>1351024</xdr:colOff>
      <xdr:row>0</xdr:row>
      <xdr:rowOff>372473</xdr:rowOff>
    </xdr:to>
    <xdr:sp macro="[0]!boton_plan_ingres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53AE21A-7923-47FB-B7BC-70D0C565F5B1}"/>
            </a:ext>
          </a:extLst>
        </xdr:cNvPr>
        <xdr:cNvSpPr/>
      </xdr:nvSpPr>
      <xdr:spPr>
        <a:xfrm>
          <a:off x="1660549" y="151894"/>
          <a:ext cx="774511" cy="220579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Ingreso</a:t>
          </a:r>
        </a:p>
      </xdr:txBody>
    </xdr:sp>
    <xdr:clientData/>
  </xdr:twoCellAnchor>
  <xdr:twoCellAnchor>
    <xdr:from>
      <xdr:col>1</xdr:col>
      <xdr:colOff>1367190</xdr:colOff>
      <xdr:row>0</xdr:row>
      <xdr:rowOff>148886</xdr:rowOff>
    </xdr:from>
    <xdr:to>
      <xdr:col>3</xdr:col>
      <xdr:colOff>221969</xdr:colOff>
      <xdr:row>0</xdr:row>
      <xdr:rowOff>369465</xdr:rowOff>
    </xdr:to>
    <xdr:sp macro="[0]!boton_plan_gast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7B6A1FE-8078-4FD8-BEF6-7E7AC2EA078D}"/>
            </a:ext>
          </a:extLst>
        </xdr:cNvPr>
        <xdr:cNvSpPr/>
      </xdr:nvSpPr>
      <xdr:spPr>
        <a:xfrm>
          <a:off x="2451226" y="148886"/>
          <a:ext cx="913993" cy="220579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Gasto</a:t>
          </a:r>
        </a:p>
      </xdr:txBody>
    </xdr:sp>
    <xdr:clientData/>
  </xdr:twoCellAnchor>
  <xdr:twoCellAnchor>
    <xdr:from>
      <xdr:col>3</xdr:col>
      <xdr:colOff>233596</xdr:colOff>
      <xdr:row>0</xdr:row>
      <xdr:rowOff>143949</xdr:rowOff>
    </xdr:from>
    <xdr:to>
      <xdr:col>4</xdr:col>
      <xdr:colOff>381000</xdr:colOff>
      <xdr:row>0</xdr:row>
      <xdr:rowOff>364528</xdr:rowOff>
    </xdr:to>
    <xdr:sp macro="[0]!boton_plan_transf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3864099-A7CC-4469-93C2-73423275A8D6}"/>
            </a:ext>
          </a:extLst>
        </xdr:cNvPr>
        <xdr:cNvSpPr/>
      </xdr:nvSpPr>
      <xdr:spPr>
        <a:xfrm>
          <a:off x="3376846" y="143949"/>
          <a:ext cx="909404" cy="220579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Transf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2434573</xdr:colOff>
      <xdr:row>0</xdr:row>
      <xdr:rowOff>0</xdr:rowOff>
    </xdr:from>
    <xdr:to>
      <xdr:col>1</xdr:col>
      <xdr:colOff>2788227</xdr:colOff>
      <xdr:row>0</xdr:row>
      <xdr:rowOff>368804</xdr:rowOff>
    </xdr:to>
    <xdr:pic>
      <xdr:nvPicPr>
        <xdr:cNvPr id="2" name="Gráfico 1" descr="Marca de insignia1 con relleno sólido">
          <a:extLst>
            <a:ext uri="{FF2B5EF4-FFF2-40B4-BE49-F238E27FC236}">
              <a16:creationId xmlns:a16="http://schemas.microsoft.com/office/drawing/2014/main" id="{FA71D2AA-466A-47CD-995F-361489784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672823" y="0"/>
          <a:ext cx="353654" cy="368804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151989</xdr:colOff>
      <xdr:row>0</xdr:row>
      <xdr:rowOff>0</xdr:rowOff>
    </xdr:from>
    <xdr:to>
      <xdr:col>0</xdr:col>
      <xdr:colOff>502228</xdr:colOff>
      <xdr:row>0</xdr:row>
      <xdr:rowOff>371081</xdr:rowOff>
    </xdr:to>
    <xdr:pic>
      <xdr:nvPicPr>
        <xdr:cNvPr id="3" name="Gráfico 2" descr="Insignia de cruz con relleno sólid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950840E-87ED-488D-A776-CD96B79F8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51989" y="0"/>
          <a:ext cx="350239" cy="371081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1042736</xdr:colOff>
      <xdr:row>0</xdr:row>
      <xdr:rowOff>45119</xdr:rowOff>
    </xdr:from>
    <xdr:to>
      <xdr:col>1</xdr:col>
      <xdr:colOff>511342</xdr:colOff>
      <xdr:row>0</xdr:row>
      <xdr:rowOff>265698</xdr:rowOff>
    </xdr:to>
    <xdr:sp macro="" textlink="">
      <xdr:nvSpPr>
        <xdr:cNvPr id="4" name="Rectángulo: esquinas redondeada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F1D24B8-A436-4B53-A15B-F20FD8465729}"/>
            </a:ext>
          </a:extLst>
        </xdr:cNvPr>
        <xdr:cNvSpPr/>
      </xdr:nvSpPr>
      <xdr:spPr>
        <a:xfrm>
          <a:off x="1042736" y="45119"/>
          <a:ext cx="706856" cy="22057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GASTO</a:t>
          </a:r>
        </a:p>
      </xdr:txBody>
    </xdr:sp>
    <xdr:clientData/>
  </xdr:twoCellAnchor>
  <xdr:twoCellAnchor>
    <xdr:from>
      <xdr:col>1</xdr:col>
      <xdr:colOff>523372</xdr:colOff>
      <xdr:row>0</xdr:row>
      <xdr:rowOff>42111</xdr:rowOff>
    </xdr:from>
    <xdr:to>
      <xdr:col>1</xdr:col>
      <xdr:colOff>1308433</xdr:colOff>
      <xdr:row>0</xdr:row>
      <xdr:rowOff>262690</xdr:rowOff>
    </xdr:to>
    <xdr:sp macro="" textlink="">
      <xdr:nvSpPr>
        <xdr:cNvPr id="5" name="Rectángulo: esquinas redondeada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1FCAD01-B1C6-4924-A565-AA63DA738E0B}"/>
            </a:ext>
          </a:extLst>
        </xdr:cNvPr>
        <xdr:cNvSpPr/>
      </xdr:nvSpPr>
      <xdr:spPr>
        <a:xfrm>
          <a:off x="1761622" y="42111"/>
          <a:ext cx="785061" cy="22057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INGRESO</a:t>
          </a:r>
        </a:p>
      </xdr:txBody>
    </xdr:sp>
    <xdr:clientData/>
  </xdr:twoCellAnchor>
  <xdr:twoCellAnchor>
    <xdr:from>
      <xdr:col>1</xdr:col>
      <xdr:colOff>1317457</xdr:colOff>
      <xdr:row>0</xdr:row>
      <xdr:rowOff>41710</xdr:rowOff>
    </xdr:from>
    <xdr:to>
      <xdr:col>1</xdr:col>
      <xdr:colOff>2102518</xdr:colOff>
      <xdr:row>0</xdr:row>
      <xdr:rowOff>262289</xdr:rowOff>
    </xdr:to>
    <xdr:sp macro="" textlink="">
      <xdr:nvSpPr>
        <xdr:cNvPr id="6" name="Rectángulo: esquinas redondeada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07F4959-144F-4FAB-A6A6-7AA665E13CD3}"/>
            </a:ext>
          </a:extLst>
        </xdr:cNvPr>
        <xdr:cNvSpPr/>
      </xdr:nvSpPr>
      <xdr:spPr>
        <a:xfrm>
          <a:off x="2555707" y="41710"/>
          <a:ext cx="785061" cy="22057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CRÉDITO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2495407</xdr:colOff>
      <xdr:row>0</xdr:row>
      <xdr:rowOff>15039</xdr:rowOff>
    </xdr:from>
    <xdr:to>
      <xdr:col>1</xdr:col>
      <xdr:colOff>2887579</xdr:colOff>
      <xdr:row>0</xdr:row>
      <xdr:rowOff>343829</xdr:rowOff>
    </xdr:to>
    <xdr:pic macro="[0]!Ingresar">
      <xdr:nvPicPr>
        <xdr:cNvPr id="2" name="Gráfico 1" descr="Marca de insignia1 con relleno sólido">
          <a:extLst>
            <a:ext uri="{FF2B5EF4-FFF2-40B4-BE49-F238E27FC236}">
              <a16:creationId xmlns:a16="http://schemas.microsoft.com/office/drawing/2014/main" id="{21812B30-D56B-4607-A174-B0DA97915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9614" y="15039"/>
          <a:ext cx="392172" cy="328790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120316</xdr:colOff>
      <xdr:row>0</xdr:row>
      <xdr:rowOff>0</xdr:rowOff>
    </xdr:from>
    <xdr:to>
      <xdr:col>0</xdr:col>
      <xdr:colOff>497159</xdr:colOff>
      <xdr:row>0</xdr:row>
      <xdr:rowOff>375244</xdr:rowOff>
    </xdr:to>
    <xdr:pic>
      <xdr:nvPicPr>
        <xdr:cNvPr id="3" name="Gráfico 2" descr="Insignia de cruz con relleno sólid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E145C77-4975-4FC7-B0D4-D260640B6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0316" y="0"/>
          <a:ext cx="376843" cy="375244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1045427</xdr:colOff>
      <xdr:row>0</xdr:row>
      <xdr:rowOff>68458</xdr:rowOff>
    </xdr:from>
    <xdr:to>
      <xdr:col>1</xdr:col>
      <xdr:colOff>428076</xdr:colOff>
      <xdr:row>0</xdr:row>
      <xdr:rowOff>289037</xdr:rowOff>
    </xdr:to>
    <xdr:sp macro="" textlink="">
      <xdr:nvSpPr>
        <xdr:cNvPr id="4" name="Rectángulo: esquinas redondeada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18EBB6C-2571-4234-9C45-EFC8AA7E15CC}"/>
            </a:ext>
          </a:extLst>
        </xdr:cNvPr>
        <xdr:cNvSpPr/>
      </xdr:nvSpPr>
      <xdr:spPr>
        <a:xfrm>
          <a:off x="1045427" y="68458"/>
          <a:ext cx="706856" cy="220579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GASTO</a:t>
          </a:r>
        </a:p>
      </xdr:txBody>
    </xdr:sp>
    <xdr:clientData/>
  </xdr:twoCellAnchor>
  <xdr:twoCellAnchor>
    <xdr:from>
      <xdr:col>1</xdr:col>
      <xdr:colOff>440106</xdr:colOff>
      <xdr:row>0</xdr:row>
      <xdr:rowOff>65450</xdr:rowOff>
    </xdr:from>
    <xdr:to>
      <xdr:col>1</xdr:col>
      <xdr:colOff>1225167</xdr:colOff>
      <xdr:row>0</xdr:row>
      <xdr:rowOff>286029</xdr:rowOff>
    </xdr:to>
    <xdr:sp macro="" textlink="">
      <xdr:nvSpPr>
        <xdr:cNvPr id="5" name="Rectángulo: esquinas redondeada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F7B09E0-FC18-4745-AB08-49E32C493493}"/>
            </a:ext>
          </a:extLst>
        </xdr:cNvPr>
        <xdr:cNvSpPr/>
      </xdr:nvSpPr>
      <xdr:spPr>
        <a:xfrm>
          <a:off x="1764313" y="65450"/>
          <a:ext cx="785061" cy="220579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TRANSFE</a:t>
          </a:r>
        </a:p>
      </xdr:txBody>
    </xdr:sp>
    <xdr:clientData/>
  </xdr:twoCellAnchor>
  <xdr:twoCellAnchor>
    <xdr:from>
      <xdr:col>1</xdr:col>
      <xdr:colOff>1238838</xdr:colOff>
      <xdr:row>0</xdr:row>
      <xdr:rowOff>69695</xdr:rowOff>
    </xdr:from>
    <xdr:to>
      <xdr:col>1</xdr:col>
      <xdr:colOff>2023899</xdr:colOff>
      <xdr:row>0</xdr:row>
      <xdr:rowOff>290274</xdr:rowOff>
    </xdr:to>
    <xdr:sp macro="" textlink="">
      <xdr:nvSpPr>
        <xdr:cNvPr id="6" name="Rectángulo: esquinas redondeada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05378AD-045D-4537-B1E2-672E5F987524}"/>
            </a:ext>
          </a:extLst>
        </xdr:cNvPr>
        <xdr:cNvSpPr/>
      </xdr:nvSpPr>
      <xdr:spPr>
        <a:xfrm>
          <a:off x="2563045" y="69695"/>
          <a:ext cx="785061" cy="220579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CRÉDITO</a:t>
          </a:r>
        </a:p>
      </xdr:txBody>
    </xdr:sp>
    <xdr:clientData/>
  </xdr:twoCellAnchor>
  <xdr:twoCellAnchor>
    <xdr:from>
      <xdr:col>1</xdr:col>
      <xdr:colOff>223025</xdr:colOff>
      <xdr:row>0</xdr:row>
      <xdr:rowOff>329892</xdr:rowOff>
    </xdr:from>
    <xdr:to>
      <xdr:col>1</xdr:col>
      <xdr:colOff>1635512</xdr:colOff>
      <xdr:row>0</xdr:row>
      <xdr:rowOff>576148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189BB763-FD4D-4A01-AC9D-CE2D438AD247}"/>
            </a:ext>
          </a:extLst>
        </xdr:cNvPr>
        <xdr:cNvSpPr txBox="1"/>
      </xdr:nvSpPr>
      <xdr:spPr>
        <a:xfrm>
          <a:off x="1547232" y="329892"/>
          <a:ext cx="1412487" cy="2462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600" b="1">
              <a:solidFill>
                <a:schemeClr val="bg1"/>
              </a:solidFill>
            </a:rPr>
            <a:t>INGRESO </a:t>
          </a:r>
        </a:p>
      </xdr:txBody>
    </xdr:sp>
    <xdr:clientData/>
  </xdr:twoCellAnchor>
  <xdr:twoCellAnchor editAs="oneCell">
    <xdr:from>
      <xdr:col>1</xdr:col>
      <xdr:colOff>1333499</xdr:colOff>
      <xdr:row>0</xdr:row>
      <xdr:rowOff>320598</xdr:rowOff>
    </xdr:from>
    <xdr:to>
      <xdr:col>1</xdr:col>
      <xdr:colOff>1621573</xdr:colOff>
      <xdr:row>1</xdr:row>
      <xdr:rowOff>27879</xdr:rowOff>
    </xdr:to>
    <xdr:pic>
      <xdr:nvPicPr>
        <xdr:cNvPr id="9" name="Gráfico 8" descr="Monedas contorno">
          <a:extLst>
            <a:ext uri="{FF2B5EF4-FFF2-40B4-BE49-F238E27FC236}">
              <a16:creationId xmlns:a16="http://schemas.microsoft.com/office/drawing/2014/main" id="{DFF2BD69-BCA8-41B7-B988-E7DFE44EC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57706" y="320598"/>
          <a:ext cx="288074" cy="2880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2396289</xdr:colOff>
      <xdr:row>0</xdr:row>
      <xdr:rowOff>0</xdr:rowOff>
    </xdr:from>
    <xdr:to>
      <xdr:col>1</xdr:col>
      <xdr:colOff>2828652</xdr:colOff>
      <xdr:row>0</xdr:row>
      <xdr:rowOff>385073</xdr:rowOff>
    </xdr:to>
    <xdr:pic macro="[0]!GASTAR">
      <xdr:nvPicPr>
        <xdr:cNvPr id="2" name="Gráfico 1" descr="Marca de insignia1 con relleno sólido">
          <a:extLst>
            <a:ext uri="{FF2B5EF4-FFF2-40B4-BE49-F238E27FC236}">
              <a16:creationId xmlns:a16="http://schemas.microsoft.com/office/drawing/2014/main" id="{085B6FE9-458A-4C5D-B556-6E4774CBD8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719763" y="0"/>
          <a:ext cx="432363" cy="385073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116243</xdr:colOff>
      <xdr:row>0</xdr:row>
      <xdr:rowOff>0</xdr:rowOff>
    </xdr:from>
    <xdr:to>
      <xdr:col>0</xdr:col>
      <xdr:colOff>501316</xdr:colOff>
      <xdr:row>0</xdr:row>
      <xdr:rowOff>385073</xdr:rowOff>
    </xdr:to>
    <xdr:pic>
      <xdr:nvPicPr>
        <xdr:cNvPr id="3" name="Gráfico 2" descr="Insignia de cruz con relleno sólid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4E32197-8D9A-4B71-A920-702D8F6EF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16243" y="0"/>
          <a:ext cx="385073" cy="385073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1052763</xdr:colOff>
      <xdr:row>0</xdr:row>
      <xdr:rowOff>48528</xdr:rowOff>
    </xdr:from>
    <xdr:to>
      <xdr:col>1</xdr:col>
      <xdr:colOff>436145</xdr:colOff>
      <xdr:row>0</xdr:row>
      <xdr:rowOff>269107</xdr:rowOff>
    </xdr:to>
    <xdr:sp macro="" textlink="">
      <xdr:nvSpPr>
        <xdr:cNvPr id="4" name="Rectángulo: esquinas redondeada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BEDB78B-CA9B-4857-A479-A8E9439ED5EA}"/>
            </a:ext>
          </a:extLst>
        </xdr:cNvPr>
        <xdr:cNvSpPr/>
      </xdr:nvSpPr>
      <xdr:spPr>
        <a:xfrm>
          <a:off x="1052763" y="48528"/>
          <a:ext cx="706856" cy="220579"/>
        </a:xfrm>
        <a:prstGeom prst="roundRect">
          <a:avLst/>
        </a:prstGeom>
        <a:solidFill>
          <a:srgbClr val="009999"/>
        </a:solidFill>
        <a:ln>
          <a:noFill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TRANSF</a:t>
          </a:r>
        </a:p>
      </xdr:txBody>
    </xdr:sp>
    <xdr:clientData/>
  </xdr:twoCellAnchor>
  <xdr:twoCellAnchor>
    <xdr:from>
      <xdr:col>1</xdr:col>
      <xdr:colOff>463214</xdr:colOff>
      <xdr:row>0</xdr:row>
      <xdr:rowOff>55546</xdr:rowOff>
    </xdr:from>
    <xdr:to>
      <xdr:col>1</xdr:col>
      <xdr:colOff>1248275</xdr:colOff>
      <xdr:row>0</xdr:row>
      <xdr:rowOff>276125</xdr:rowOff>
    </xdr:to>
    <xdr:sp macro="" textlink="">
      <xdr:nvSpPr>
        <xdr:cNvPr id="5" name="Rectángulo: esquinas redondeada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3C5D1D7-E9F4-47D4-AB38-F02E135CF3EA}"/>
            </a:ext>
          </a:extLst>
        </xdr:cNvPr>
        <xdr:cNvSpPr/>
      </xdr:nvSpPr>
      <xdr:spPr>
        <a:xfrm>
          <a:off x="1786688" y="55546"/>
          <a:ext cx="785061" cy="220579"/>
        </a:xfrm>
        <a:prstGeom prst="roundRect">
          <a:avLst/>
        </a:prstGeom>
        <a:solidFill>
          <a:srgbClr val="009999"/>
        </a:solidFill>
        <a:ln>
          <a:noFill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INGRESO</a:t>
          </a:r>
        </a:p>
      </xdr:txBody>
    </xdr:sp>
    <xdr:clientData/>
  </xdr:twoCellAnchor>
  <xdr:twoCellAnchor>
    <xdr:from>
      <xdr:col>1</xdr:col>
      <xdr:colOff>1272339</xdr:colOff>
      <xdr:row>0</xdr:row>
      <xdr:rowOff>55145</xdr:rowOff>
    </xdr:from>
    <xdr:to>
      <xdr:col>1</xdr:col>
      <xdr:colOff>2057400</xdr:colOff>
      <xdr:row>0</xdr:row>
      <xdr:rowOff>275724</xdr:rowOff>
    </xdr:to>
    <xdr:sp macro="" textlink="">
      <xdr:nvSpPr>
        <xdr:cNvPr id="6" name="Rectángulo: esquinas redondeada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4BB916D-E90F-4CDC-9056-C94A0D644EC0}"/>
            </a:ext>
          </a:extLst>
        </xdr:cNvPr>
        <xdr:cNvSpPr/>
      </xdr:nvSpPr>
      <xdr:spPr>
        <a:xfrm>
          <a:off x="2595813" y="55145"/>
          <a:ext cx="785061" cy="220579"/>
        </a:xfrm>
        <a:prstGeom prst="roundRect">
          <a:avLst/>
        </a:prstGeom>
        <a:solidFill>
          <a:srgbClr val="009999"/>
        </a:solidFill>
        <a:ln>
          <a:noFill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CRÉDITO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esupuest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gistros"/>
      <sheetName val="Presupuesto mensual"/>
      <sheetName val="Presupuesto"/>
      <sheetName val="pagos_recurrentes"/>
      <sheetName val="Listas"/>
      <sheetName val="cuentas credito"/>
      <sheetName val="TEC"/>
      <sheetName val="cuentas debito"/>
      <sheetName val="DB_compras_con_credito"/>
      <sheetName val="Hoja1"/>
      <sheetName val="vista_compra_credito"/>
      <sheetName val="db_compra_credito"/>
      <sheetName val="cuentas_credito"/>
      <sheetName val="Presupuestos"/>
    </sheetNames>
    <sheetDataSet>
      <sheetData sheetId="0"/>
      <sheetData sheetId="1"/>
      <sheetData sheetId="2"/>
      <sheetData sheetId="3"/>
      <sheetData sheetId="4">
        <row r="2">
          <cell r="A2" t="str">
            <v>Casa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10" refreshedDate="44554.584389236108" createdVersion="6" refreshedVersion="6" minRefreshableVersion="3" recordCount="3" xr:uid="{8A7D454E-033C-4147-A203-AC0F0CEB4778}">
  <cacheSource type="worksheet">
    <worksheetSource name="TABLE_TRANSACCIONES"/>
  </cacheSource>
  <cacheFields count="11">
    <cacheField name="ID" numFmtId="0">
      <sharedItems containsSemiMixedTypes="0" containsString="0" containsNumber="1" containsInteger="1" minValue="1" maxValue="3"/>
    </cacheField>
    <cacheField name="FECHA" numFmtId="14">
      <sharedItems containsSemiMixedTypes="0" containsNonDate="0" containsDate="1" containsString="0" minDate="2021-12-12T00:00:00" maxDate="2021-12-25T00:00:00"/>
    </cacheField>
    <cacheField name="CATEGORIA" numFmtId="14">
      <sharedItems/>
    </cacheField>
    <cacheField name="SUBCATEGORIA" numFmtId="0">
      <sharedItems count="3">
        <s v="Snack"/>
        <s v="Celular"/>
        <s v="Transporte a trabajo"/>
      </sharedItems>
    </cacheField>
    <cacheField name="CUENTA_ORIGEN" numFmtId="164">
      <sharedItems count="1">
        <s v="Banco de Chile Cuenta corriente"/>
      </sharedItems>
    </cacheField>
    <cacheField name="CUENTA_DESTINO" numFmtId="164">
      <sharedItems containsNonDate="0" containsString="0" containsBlank="1"/>
    </cacheField>
    <cacheField name="CARGO" numFmtId="164">
      <sharedItems containsSemiMixedTypes="0" containsString="0" containsNumber="1" containsInteger="1" minValue="5950" maxValue="18000" count="3">
        <n v="5950"/>
        <n v="14990"/>
        <n v="18000"/>
      </sharedItems>
    </cacheField>
    <cacheField name="ABONO" numFmtId="0">
      <sharedItems containsNonDate="0" containsString="0" containsBlank="1"/>
    </cacheField>
    <cacheField name="BENEFICIADO" numFmtId="0">
      <sharedItems/>
    </cacheField>
    <cacheField name="NOTA" numFmtId="0">
      <sharedItems/>
    </cacheField>
    <cacheField name="TIPO" numFmtId="164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n v="3"/>
    <d v="2021-12-24T00:00:00"/>
    <s v="Comida"/>
    <x v="0"/>
    <x v="0"/>
    <m/>
    <x v="0"/>
    <m/>
    <s v="Kiosko Antucoya"/>
    <s v="Helados en el trabajo"/>
    <s v="Gasto"/>
  </r>
  <r>
    <n v="2"/>
    <d v="2021-12-14T00:00:00"/>
    <s v="Servicios"/>
    <x v="1"/>
    <x v="0"/>
    <m/>
    <x v="1"/>
    <m/>
    <s v="Entel"/>
    <s v="Diciembre"/>
    <s v="Gasto"/>
  </r>
  <r>
    <n v="1"/>
    <d v="2021-12-12T00:00:00"/>
    <s v="Transporte"/>
    <x v="2"/>
    <x v="0"/>
    <m/>
    <x v="2"/>
    <m/>
    <s v="yo"/>
    <s v="Antofa-Copiapo"/>
    <s v="Gast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A54D4F-BEFF-4634-84C3-80B4E5AC5C0A}" name="TablaDinámica3" cacheId="382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D7:E11" firstHeaderRow="1" firstDataRow="1" firstDataCol="1"/>
  <pivotFields count="11">
    <pivotField showAll="0"/>
    <pivotField numFmtId="14" showAll="0"/>
    <pivotField showAll="0"/>
    <pivotField axis="axisRow" showAll="0">
      <items count="4">
        <item x="1"/>
        <item x="0"/>
        <item x="2"/>
        <item t="default"/>
      </items>
    </pivotField>
    <pivotField showAll="0">
      <items count="2">
        <item x="0"/>
        <item t="default"/>
      </items>
    </pivotField>
    <pivotField showAll="0"/>
    <pivotField dataField="1" numFmtId="164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CARGO" fld="6" baseField="0" baseItem="0"/>
  </dataFields>
  <formats count="6">
    <format dxfId="54">
      <pivotArea type="all" dataOnly="0" outline="0" fieldPosition="0"/>
    </format>
    <format dxfId="55">
      <pivotArea outline="0" collapsedLevelsAreSubtotals="1" fieldPosition="0"/>
    </format>
    <format dxfId="56">
      <pivotArea field="3" type="button" dataOnly="0" labelOnly="1" outline="0" axis="axisRow" fieldPosition="0"/>
    </format>
    <format dxfId="57">
      <pivotArea dataOnly="0" labelOnly="1" fieldPosition="0">
        <references count="1">
          <reference field="3" count="0"/>
        </references>
      </pivotArea>
    </format>
    <format dxfId="58">
      <pivotArea dataOnly="0" labelOnly="1" grandRow="1" outline="0" fieldPosition="0"/>
    </format>
    <format dxfId="5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774F9-BEF8-4A7E-9B87-00A430E9BCC3}" name="TABLE_TRANSACCIONES" displayName="TABLE_TRANSACCIONES" ref="A1:K4" totalsRowShown="0" headerRowDxfId="53" dataDxfId="52" headerRowBorderDxfId="50" tableBorderDxfId="51">
  <autoFilter ref="A1:K4" xr:uid="{1B06E75E-0DA5-4806-82CF-4CE3EC540652}"/>
  <tableColumns count="11">
    <tableColumn id="1" xr3:uid="{6D83AE57-76C7-48AC-8CEB-E56365128BB7}" name="ID" dataDxfId="49"/>
    <tableColumn id="2" xr3:uid="{292C03BC-15B2-4CB5-9D90-A78741FBFBA1}" name="FECHA" dataDxfId="48"/>
    <tableColumn id="11" xr3:uid="{389BFA4F-DD0F-4568-944C-C4FFEAA19305}" name="CATEGORIA" dataDxfId="47"/>
    <tableColumn id="4" xr3:uid="{5091E7A2-6AE7-4415-94AE-F91A0253F995}" name="SUBCATEGORIA" dataDxfId="46"/>
    <tableColumn id="5" xr3:uid="{317295DE-74FB-4646-BB10-AE48A5942169}" name="CUENTA_ORIGEN" dataDxfId="45"/>
    <tableColumn id="6" xr3:uid="{D5F5866D-1C1B-4845-B67E-6073111FF007}" name="CUENTA_DESTINO" dataDxfId="44"/>
    <tableColumn id="7" xr3:uid="{7C3DF620-CD3B-4B85-A0F2-2D2608747713}" name="CARGO" dataDxfId="43"/>
    <tableColumn id="3" xr3:uid="{20F53404-1FC8-4864-A2AC-2A5C061162A2}" name="ABONO" dataDxfId="42"/>
    <tableColumn id="8" xr3:uid="{2AC8FD57-4A03-454E-8F7B-0A83864D8C02}" name="BENEFICIADO" dataDxfId="41"/>
    <tableColumn id="9" xr3:uid="{7CD4643F-FF66-43E5-BB20-361458BB1D01}" name="NOTA" dataDxfId="40"/>
    <tableColumn id="10" xr3:uid="{39832B89-D1A1-46E5-8360-7A08CC6DEEC6}" name="TIPO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F211DA7-CA9E-486D-BE64-470030DF8BE9}" name="Tabla6" displayName="Tabla6" ref="A2:P4" totalsRowShown="0" headerRowDxfId="38" dataDxfId="37">
  <autoFilter ref="A2:P4" xr:uid="{7044B2A1-4673-40DF-98AC-971023F9A91F}"/>
  <tableColumns count="16">
    <tableColumn id="1" xr3:uid="{86586B74-703D-43E3-8D99-07D0CBE4479A}" name="ID" dataDxfId="36"/>
    <tableColumn id="16" xr3:uid="{3C078FCC-9A48-4937-991F-2F9316C9D9C7}" name="Tipo" dataDxfId="35"/>
    <tableColumn id="2" xr3:uid="{58DEB831-475A-470E-B414-4BB4A45B9059}" name="Fecha" dataDxfId="34"/>
    <tableColumn id="3" xr3:uid="{67CBAABF-B568-4BD7-AE55-9C8776680790}" name="Monto" dataDxfId="33"/>
    <tableColumn id="4" xr3:uid="{3A497FDD-1B9A-40E8-927A-60A2655D27D5}" name="Cuenta" dataDxfId="32"/>
    <tableColumn id="8" xr3:uid="{7AB12A0F-F3C9-472B-BC43-8398403625FD}" name="Categoria" dataDxfId="31"/>
    <tableColumn id="5" xr3:uid="{54D39E77-C610-499F-9CAF-A3F51CC176B0}" name="Subcategoria" dataDxfId="30"/>
    <tableColumn id="6" xr3:uid="{F2687DE8-B1AC-4B65-BA2B-BD6F718C9053}" name="Beneficiado" dataDxfId="29"/>
    <tableColumn id="7" xr3:uid="{759CAFD6-9AF7-47D4-8FA7-398DB37B0F57}" name="Nota" dataDxfId="28"/>
    <tableColumn id="9" xr3:uid="{4B6D2EB8-11AA-4837-A7C7-E34599D627C7}" name="Frecuencia" dataDxfId="27"/>
    <tableColumn id="10" xr3:uid="{032B72A7-F90D-49FA-998F-BA093BDE460B}" name="Fecha2" dataDxfId="26"/>
    <tableColumn id="11" xr3:uid="{BA19F2CD-C993-49F5-A5A5-F2D6C1CA4CBC}" name="Recordar" dataDxfId="25"/>
    <tableColumn id="12" xr3:uid="{3F2D3942-D6C3-4035-B6A4-08480D1441A8}" name="Repetir" dataDxfId="24"/>
    <tableColumn id="13" xr3:uid="{567E4EA1-93D6-4DDA-A051-E1382A6EE2C2}" name="Cada" dataDxfId="23"/>
    <tableColumn id="14" xr3:uid="{95AB2995-17E5-457B-A130-646FD926E874}" name="Hasta" dataDxfId="22"/>
    <tableColumn id="15" xr3:uid="{148DFB56-1D80-4CD2-9375-2BD5BD30D0E1}" name="Final" dataDxfId="2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34D634-9972-45FD-96F3-C96A94586919}" name="db_cuentas" displayName="db_cuentas" ref="A1:N12" totalsRowShown="0" headerRowDxfId="20" dataDxfId="19">
  <autoFilter ref="A1:N12" xr:uid="{B893FB28-20DC-4210-B356-4F6B7B5C4CAA}"/>
  <tableColumns count="14">
    <tableColumn id="1" xr3:uid="{A5D996B8-7E40-4445-9E39-EF6E470FD579}" name="ID" dataDxfId="18"/>
    <tableColumn id="13" xr3:uid="{31720EB1-641E-4920-9997-4DA674B83A8A}" name="NOMBRE" dataDxfId="17"/>
    <tableColumn id="15" xr3:uid="{810E6263-0B0B-4AA5-BF4E-240DE211C14E}" name="TIPO" dataDxfId="16"/>
    <tableColumn id="4" xr3:uid="{52C73599-DD1E-4984-822A-0267EB936661}" name="CUPO_CREDITO" dataDxfId="15"/>
    <tableColumn id="5" xr3:uid="{0F966B2E-38CD-44BE-B276-1F646CD1A6C1}" name="CREDITO_UTILIZADO" dataDxfId="14">
      <calculatedColumnFormula>SUMIFS([1]!registros_tabla[Cargo],[1]!registros_tabla[Cuenta origen],#REF!)</calculatedColumnFormula>
    </tableColumn>
    <tableColumn id="6" xr3:uid="{B2F609C8-12F4-4C3F-94D4-6B0D5F1111EA}" name="CREDITO_DISPONIBLE" dataDxfId="13">
      <calculatedColumnFormula>db_cuentas[[#This Row],[CUPO_CREDITO]]-db_cuentas[[#This Row],[CREDITO_UTILIZADO]]</calculatedColumnFormula>
    </tableColumn>
    <tableColumn id="14" xr3:uid="{743F6ABB-E073-4F6D-9B28-EE136BD20D01}" name="DEBITO" dataDxfId="12"/>
    <tableColumn id="2" xr3:uid="{45A893BF-0E94-42BB-9DFB-0F10C98C18D7}" name="INSTITUCIÓN_BANCARIA" dataDxfId="11"/>
    <tableColumn id="3" xr3:uid="{68D92A5E-E080-4514-A4B9-D5F23271884D}" name="SERVICIO_INTERNACIONAL" dataDxfId="10"/>
    <tableColumn id="7" xr3:uid="{61DCB24A-686C-4E93-B33F-0AF0D5D32C8D}" name="FECHA DE PAGO" dataDxfId="9"/>
    <tableColumn id="8" xr3:uid="{27A5537F-9957-4567-8313-6BAAC36CFE20}" name="INICIO PERIODO FACTURADO" dataDxfId="8"/>
    <tableColumn id="9" xr3:uid="{7A6D52D8-2AB1-425F-9A65-63988C258428}" name="TERMINO PERIODO FACTURADO" dataDxfId="7"/>
    <tableColumn id="10" xr3:uid="{1B9A4F06-58EC-40BE-9E19-A87220ED8715}" name="FECHA FACTURACIÓN" dataDxfId="6"/>
    <tableColumn id="11" xr3:uid="{34D2771A-4662-48DD-A71C-1F5CA1152C6C}" name="COMISIÓN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08B90C-F8D4-434D-B61C-E0439D29FC27}" name="Tabla5" displayName="Tabla5" ref="A1:C46" totalsRowShown="0" headerRowDxfId="4" dataDxfId="3">
  <autoFilter ref="A1:C46" xr:uid="{6531A723-FE55-447B-9635-E210F86B0897}"/>
  <tableColumns count="3">
    <tableColumn id="1" xr3:uid="{3737EA4A-B846-4A38-A9FA-5B2A55CF048D}" name="ID" dataDxfId="2"/>
    <tableColumn id="2" xr3:uid="{3A5E83C3-E9DC-47C9-A2AA-1B18C0A0B00C}" name="NOMBRE" dataDxfId="1"/>
    <tableColumn id="3" xr3:uid="{712F043E-D72F-4AC6-81B5-22B49FE22CA6}" name="CATEGORI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6E6D7D-FEA5-4F45-9AFC-720D2BC0FFCB}" name="Tabla2" displayName="Tabla2" ref="A1:L2" totalsRowShown="0">
  <autoFilter ref="A1:L2" xr:uid="{6F896463-9D8F-477D-834B-AB7A74754699}"/>
  <tableColumns count="12">
    <tableColumn id="1" xr3:uid="{327CF9E9-ECBD-4264-9416-A552AE42AE65}" name="ID"/>
    <tableColumn id="2" xr3:uid="{B5B95B02-CEB1-4AA2-B752-4E56CD4936B9}" name="FECHA"/>
    <tableColumn id="3" xr3:uid="{96AFB44C-4F89-403D-AA06-3F02C5DA4FEB}" name="CUENTA_ORIGEN"/>
    <tableColumn id="5" xr3:uid="{474D9D8A-4CBB-4E49-8180-6FD497389E3D}" name="SUBCATEGORIA"/>
    <tableColumn id="6" xr3:uid="{401055F8-C5AC-4A6F-BBE5-77500495BEE3}" name="CARGO"/>
    <tableColumn id="7" xr3:uid="{45747614-1AD0-4048-AB3A-E1B955817351}" name="CUOTAS"/>
    <tableColumn id="8" xr3:uid="{B416167E-73F7-4EE6-88B3-944803786346}" name="PRIMERA_FECHA"/>
    <tableColumn id="9" xr3:uid="{AA3D9DC6-DE5B-4519-B3C2-CE49307CB7D3}" name="BENEFICIADO"/>
    <tableColumn id="10" xr3:uid="{67934AAF-21B7-4690-9B45-C15BE5D4D4AB}" name="PAC"/>
    <tableColumn id="11" xr3:uid="{4EAEBF62-CDD9-4930-849D-34745614C094}" name="VALOR_CUOTA"/>
    <tableColumn id="12" xr3:uid="{49CD9E0A-1CD0-47FB-A5FA-E9AA23D81BF1}" name="COSTO_TOTAL"/>
    <tableColumn id="13" xr3:uid="{17D3CFCE-E289-4CB9-8A7F-F4D6D72EF4DB}" name="NOT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66C8F-5815-48BA-98A0-9351A622F723}">
  <sheetPr codeName="Hoja13"/>
  <dimension ref="A1:AB40"/>
  <sheetViews>
    <sheetView workbookViewId="0">
      <selection activeCell="F25" sqref="F25"/>
    </sheetView>
  </sheetViews>
  <sheetFormatPr defaultColWidth="11.42578125" defaultRowHeight="15"/>
  <cols>
    <col min="4" max="4" width="18.85546875" bestFit="1" customWidth="1"/>
    <col min="5" max="5" width="15.42578125" bestFit="1" customWidth="1"/>
    <col min="6" max="6" width="22.42578125" bestFit="1" customWidth="1"/>
    <col min="7" max="7" width="12.5703125" bestFit="1" customWidth="1"/>
  </cols>
  <sheetData>
    <row r="1" spans="1:28">
      <c r="A1" s="63"/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</row>
    <row r="2" spans="1:28">
      <c r="A2" s="63"/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</row>
    <row r="3" spans="1:28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</row>
    <row r="4" spans="1:28">
      <c r="A4" s="63"/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</row>
    <row r="5" spans="1:28">
      <c r="A5" s="63"/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</row>
    <row r="6" spans="1:28">
      <c r="A6" s="63"/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</row>
    <row r="7" spans="1:28">
      <c r="A7" s="63"/>
      <c r="B7" s="63"/>
      <c r="C7" s="63"/>
      <c r="D7" s="63" t="s">
        <v>0</v>
      </c>
      <c r="E7" s="63" t="s">
        <v>1</v>
      </c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</row>
    <row r="8" spans="1:28">
      <c r="A8" s="63"/>
      <c r="B8" s="63"/>
      <c r="C8" s="63"/>
      <c r="D8" s="78" t="s">
        <v>2</v>
      </c>
      <c r="E8" s="63">
        <v>14990</v>
      </c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</row>
    <row r="9" spans="1:28">
      <c r="A9" s="63"/>
      <c r="B9" s="63"/>
      <c r="C9" s="63"/>
      <c r="D9" s="78" t="s">
        <v>3</v>
      </c>
      <c r="E9" s="63">
        <v>5950</v>
      </c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</row>
    <row r="10" spans="1:28">
      <c r="A10" s="63"/>
      <c r="B10" s="63"/>
      <c r="C10" s="63"/>
      <c r="D10" s="78" t="s">
        <v>4</v>
      </c>
      <c r="E10" s="63">
        <v>18000</v>
      </c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</row>
    <row r="11" spans="1:28">
      <c r="A11" s="63"/>
      <c r="B11" s="63"/>
      <c r="C11" s="63"/>
      <c r="D11" s="78" t="s">
        <v>5</v>
      </c>
      <c r="E11" s="63">
        <v>38940</v>
      </c>
      <c r="F11" s="63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</row>
    <row r="12" spans="1:28">
      <c r="A12" s="63"/>
      <c r="B12" s="63"/>
      <c r="C12" s="63"/>
      <c r="D12" s="63"/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</row>
    <row r="13" spans="1:28">
      <c r="A13" s="63"/>
      <c r="B13" s="63"/>
      <c r="C13" s="63"/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</row>
    <row r="14" spans="1:28">
      <c r="A14" s="63"/>
      <c r="B14" s="63"/>
      <c r="C14" s="63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</row>
    <row r="15" spans="1:28">
      <c r="A15" s="63"/>
      <c r="B15" s="63"/>
      <c r="C15" s="63"/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</row>
    <row r="16" spans="1:28">
      <c r="A16" s="63"/>
      <c r="B16" s="63"/>
      <c r="C16" s="63"/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</row>
    <row r="17" spans="1:28">
      <c r="A17" s="63"/>
      <c r="B17" s="63"/>
      <c r="C17" s="63"/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</row>
    <row r="18" spans="1:28">
      <c r="A18" s="63"/>
      <c r="B18" s="63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</row>
    <row r="19" spans="1:28">
      <c r="A19" s="63"/>
      <c r="B19" s="63"/>
      <c r="C19" s="63"/>
      <c r="D19" s="63"/>
      <c r="E19" s="63"/>
      <c r="F19" s="63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</row>
    <row r="20" spans="1:28">
      <c r="A20" s="63"/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</row>
    <row r="21" spans="1:28">
      <c r="A21" s="63"/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</row>
    <row r="22" spans="1:28">
      <c r="A22" s="63"/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</row>
    <row r="23" spans="1:28">
      <c r="A23" s="63"/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</row>
    <row r="24" spans="1:28">
      <c r="A24" s="63"/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</row>
    <row r="25" spans="1:28">
      <c r="A25" s="63"/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</row>
    <row r="26" spans="1:28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</row>
    <row r="27" spans="1:28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</row>
    <row r="28" spans="1:28">
      <c r="A28" s="63"/>
      <c r="B28" s="63"/>
      <c r="C28" s="63"/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</row>
    <row r="29" spans="1:28">
      <c r="A29" s="63"/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</row>
    <row r="30" spans="1:28">
      <c r="A30" s="63"/>
      <c r="B30" s="63"/>
      <c r="C30" s="63"/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</row>
    <row r="31" spans="1:28">
      <c r="A31" s="63"/>
      <c r="B31" s="63"/>
      <c r="C31" s="63"/>
      <c r="D31" s="63"/>
      <c r="E31" s="63"/>
      <c r="F31" s="63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</row>
    <row r="32" spans="1:28">
      <c r="A32" s="63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</row>
    <row r="33" spans="1:28">
      <c r="A33" s="63"/>
      <c r="B33" s="63"/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</row>
    <row r="34" spans="1:28">
      <c r="A34" s="63"/>
      <c r="B34" s="63"/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</row>
    <row r="35" spans="1:28">
      <c r="A35" s="63"/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</row>
    <row r="36" spans="1:28">
      <c r="A36" s="63"/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</row>
    <row r="37" spans="1:28">
      <c r="A37" s="63"/>
      <c r="B37" s="63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</row>
    <row r="38" spans="1:28">
      <c r="A38" s="63"/>
      <c r="B38" s="63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</row>
    <row r="39" spans="1:28">
      <c r="A39" s="63"/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</row>
    <row r="40" spans="1:28">
      <c r="A40" s="63"/>
      <c r="B40" s="63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EA3DE-E5E5-4138-AB2E-71FEF8687A63}">
  <sheetPr codeName="Hoja4"/>
  <dimension ref="A1:K10"/>
  <sheetViews>
    <sheetView workbookViewId="0"/>
  </sheetViews>
  <sheetFormatPr defaultColWidth="11.42578125" defaultRowHeight="15"/>
  <cols>
    <col min="1" max="1" width="7.85546875" customWidth="1"/>
    <col min="2" max="2" width="13.42578125" style="53" customWidth="1"/>
    <col min="3" max="3" width="14.5703125" style="53" customWidth="1"/>
    <col min="4" max="4" width="23.42578125" customWidth="1"/>
    <col min="5" max="6" width="31" customWidth="1"/>
    <col min="7" max="7" width="17.85546875" customWidth="1"/>
    <col min="8" max="8" width="16.85546875" customWidth="1"/>
    <col min="9" max="9" width="15.5703125" customWidth="1"/>
    <col min="10" max="10" width="28.5703125" customWidth="1"/>
    <col min="11" max="11" width="12.85546875" customWidth="1"/>
  </cols>
  <sheetData>
    <row r="1" spans="1:11" ht="15.75">
      <c r="A1" s="11" t="s">
        <v>6</v>
      </c>
      <c r="B1" s="59" t="s">
        <v>7</v>
      </c>
      <c r="C1" s="59" t="s">
        <v>8</v>
      </c>
      <c r="D1" s="12" t="s">
        <v>9</v>
      </c>
      <c r="E1" s="14" t="s">
        <v>10</v>
      </c>
      <c r="F1" s="14" t="s">
        <v>11</v>
      </c>
      <c r="G1" s="14" t="s">
        <v>12</v>
      </c>
      <c r="H1" s="13" t="s">
        <v>13</v>
      </c>
      <c r="I1" s="12" t="s">
        <v>14</v>
      </c>
      <c r="J1" s="12" t="s">
        <v>15</v>
      </c>
      <c r="K1" s="15" t="s">
        <v>16</v>
      </c>
    </row>
    <row r="2" spans="1:11" ht="15.75">
      <c r="A2" s="54">
        <v>3</v>
      </c>
      <c r="B2" s="60">
        <v>44554</v>
      </c>
      <c r="C2" s="60" t="s">
        <v>17</v>
      </c>
      <c r="D2" s="55" t="s">
        <v>3</v>
      </c>
      <c r="E2" s="56" t="s">
        <v>18</v>
      </c>
      <c r="F2" s="56"/>
      <c r="G2" s="56">
        <v>5950</v>
      </c>
      <c r="H2" s="57"/>
      <c r="I2" s="55" t="s">
        <v>19</v>
      </c>
      <c r="J2" s="55" t="s">
        <v>20</v>
      </c>
      <c r="K2" s="56" t="s">
        <v>21</v>
      </c>
    </row>
    <row r="3" spans="1:11" ht="15.75">
      <c r="A3" s="54">
        <v>2</v>
      </c>
      <c r="B3" s="60">
        <v>44544</v>
      </c>
      <c r="C3" s="60" t="s">
        <v>22</v>
      </c>
      <c r="D3" s="55" t="s">
        <v>2</v>
      </c>
      <c r="E3" s="56" t="s">
        <v>18</v>
      </c>
      <c r="F3" s="56"/>
      <c r="G3" s="56">
        <v>14990</v>
      </c>
      <c r="H3" s="57"/>
      <c r="I3" s="55" t="s">
        <v>23</v>
      </c>
      <c r="J3" s="55" t="s">
        <v>24</v>
      </c>
      <c r="K3" s="56" t="s">
        <v>21</v>
      </c>
    </row>
    <row r="4" spans="1:11" ht="15.75">
      <c r="A4" s="54">
        <v>1</v>
      </c>
      <c r="B4" s="60">
        <v>44542</v>
      </c>
      <c r="C4" s="60" t="s">
        <v>25</v>
      </c>
      <c r="D4" s="55" t="s">
        <v>4</v>
      </c>
      <c r="E4" s="56" t="s">
        <v>18</v>
      </c>
      <c r="F4" s="56"/>
      <c r="G4" s="56">
        <v>18000</v>
      </c>
      <c r="H4" s="57"/>
      <c r="I4" s="55" t="s">
        <v>26</v>
      </c>
      <c r="J4" s="55" t="s">
        <v>27</v>
      </c>
      <c r="K4" s="56" t="s">
        <v>21</v>
      </c>
    </row>
    <row r="8" spans="1:11">
      <c r="E8" s="58"/>
    </row>
    <row r="10" spans="1:11">
      <c r="D10" s="6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9D16-47E4-43D7-863E-E74E3D5E0062}">
  <sheetPr codeName="Hoja11"/>
  <dimension ref="A1:B10"/>
  <sheetViews>
    <sheetView zoomScale="220" zoomScaleNormal="220" workbookViewId="0">
      <selection activeCell="B6" sqref="B6"/>
    </sheetView>
  </sheetViews>
  <sheetFormatPr defaultColWidth="0" defaultRowHeight="15" zeroHeight="1"/>
  <cols>
    <col min="1" max="1" width="17.5703125" style="30" customWidth="1"/>
    <col min="2" max="2" width="44.42578125" style="30" customWidth="1"/>
    <col min="3" max="16384" width="11.42578125" hidden="1"/>
  </cols>
  <sheetData>
    <row r="1" spans="1:2" ht="44.25" customHeight="1">
      <c r="B1" s="41" t="s">
        <v>28</v>
      </c>
    </row>
    <row r="2" spans="1:2">
      <c r="A2" s="31" t="s">
        <v>29</v>
      </c>
      <c r="B2" s="32">
        <f ca="1">TODAY()</f>
        <v>45384</v>
      </c>
    </row>
    <row r="3" spans="1:2">
      <c r="A3" s="31" t="s">
        <v>30</v>
      </c>
      <c r="B3" s="33" t="s">
        <v>31</v>
      </c>
    </row>
    <row r="4" spans="1:2">
      <c r="A4" s="31" t="s">
        <v>32</v>
      </c>
      <c r="B4" s="33" t="s">
        <v>17</v>
      </c>
    </row>
    <row r="5" spans="1:2">
      <c r="A5" s="31" t="s">
        <v>33</v>
      </c>
      <c r="B5" s="33" t="s">
        <v>3</v>
      </c>
    </row>
    <row r="6" spans="1:2">
      <c r="A6" s="31" t="s">
        <v>34</v>
      </c>
      <c r="B6" s="34"/>
    </row>
    <row r="7" spans="1:2">
      <c r="A7" s="31" t="s">
        <v>35</v>
      </c>
      <c r="B7" s="35">
        <v>1</v>
      </c>
    </row>
    <row r="8" spans="1:2">
      <c r="A8" s="31" t="s">
        <v>36</v>
      </c>
      <c r="B8" s="32">
        <f ca="1">TODAY()</f>
        <v>45384</v>
      </c>
    </row>
    <row r="9" spans="1:2">
      <c r="A9" s="31" t="s">
        <v>37</v>
      </c>
      <c r="B9" s="33"/>
    </row>
    <row r="10" spans="1:2">
      <c r="A10" s="31" t="s">
        <v>38</v>
      </c>
      <c r="B10" s="33" t="s">
        <v>39</v>
      </c>
    </row>
  </sheetData>
  <dataValidations count="5">
    <dataValidation type="list" allowBlank="1" showInputMessage="1" showErrorMessage="1" sqref="B4" xr:uid="{D7FB7D22-4750-452E-B5CE-5F36C56FBC49}">
      <formula1>CATEGORIAS</formula1>
    </dataValidation>
    <dataValidation type="list" allowBlank="1" showInputMessage="1" showErrorMessage="1" sqref="B3:B4" xr:uid="{0E334FB0-72DC-44DB-ABFE-3B011DA2E1A3}">
      <formula1>Credito</formula1>
    </dataValidation>
    <dataValidation type="list" allowBlank="1" showInputMessage="1" showErrorMessage="1" sqref="B10" xr:uid="{2AEF19DB-B1FE-40D5-8ECE-C0D208BDC26B}">
      <formula1>"si,no"</formula1>
    </dataValidation>
    <dataValidation type="whole" allowBlank="1" showInputMessage="1" showErrorMessage="1" sqref="B7" xr:uid="{02747AEA-A4C5-4DFE-A866-C13F6AD340AA}">
      <formula1>1</formula1>
      <formula2>48</formula2>
    </dataValidation>
    <dataValidation type="list" allowBlank="1" showInputMessage="1" showErrorMessage="1" sqref="B5" xr:uid="{38AE514B-8975-4793-B706-1406CB28800E}">
      <formula1>INDIRECT($B$4)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46CA2-156A-4BD4-9A24-990CE692378D}">
  <sheetPr codeName="Hoja16"/>
  <dimension ref="A1:F10"/>
  <sheetViews>
    <sheetView zoomScale="205" zoomScaleNormal="205" workbookViewId="0">
      <selection activeCell="E2" sqref="E2"/>
    </sheetView>
  </sheetViews>
  <sheetFormatPr defaultColWidth="11.42578125" defaultRowHeight="15"/>
  <cols>
    <col min="1" max="1" width="16.28515625" bestFit="1" customWidth="1"/>
    <col min="2" max="2" width="28.140625" customWidth="1"/>
    <col min="3" max="3" width="2" customWidth="1"/>
    <col min="5" max="5" width="26.28515625" customWidth="1"/>
    <col min="6" max="6" width="5.140625" customWidth="1"/>
  </cols>
  <sheetData>
    <row r="1" spans="1:6" ht="32.25" customHeight="1">
      <c r="A1" s="65"/>
      <c r="B1" s="65"/>
      <c r="C1" s="65"/>
      <c r="D1" s="65"/>
      <c r="E1" s="65"/>
      <c r="F1" s="65"/>
    </row>
    <row r="2" spans="1:6" ht="19.5" customHeight="1">
      <c r="A2" s="65"/>
      <c r="B2" s="73" t="s">
        <v>40</v>
      </c>
      <c r="C2" s="73"/>
      <c r="D2" s="73" t="s">
        <v>21</v>
      </c>
      <c r="E2" s="65"/>
      <c r="F2" s="65"/>
    </row>
    <row r="3" spans="1:6" ht="6.75" customHeight="1">
      <c r="A3" s="66"/>
      <c r="B3" s="65"/>
      <c r="C3" s="65"/>
      <c r="D3" s="65"/>
      <c r="F3" s="65"/>
    </row>
    <row r="4" spans="1:6">
      <c r="A4" s="66" t="s">
        <v>29</v>
      </c>
      <c r="B4" s="67">
        <f ca="1">TODAY()</f>
        <v>45384</v>
      </c>
      <c r="C4" s="70"/>
      <c r="D4" s="66" t="s">
        <v>41</v>
      </c>
      <c r="E4" s="71" t="s">
        <v>42</v>
      </c>
      <c r="F4" s="65"/>
    </row>
    <row r="5" spans="1:6">
      <c r="A5" s="66" t="s">
        <v>43</v>
      </c>
      <c r="B5" s="74">
        <v>20000</v>
      </c>
      <c r="C5" s="70"/>
      <c r="D5" s="66" t="s">
        <v>29</v>
      </c>
      <c r="E5" s="75">
        <v>44627</v>
      </c>
      <c r="F5" s="65"/>
    </row>
    <row r="6" spans="1:6">
      <c r="A6" s="66" t="s">
        <v>44</v>
      </c>
      <c r="B6" s="68" t="s">
        <v>18</v>
      </c>
      <c r="C6" s="71"/>
      <c r="D6" s="66" t="s">
        <v>45</v>
      </c>
      <c r="E6" s="71"/>
      <c r="F6" s="65"/>
    </row>
    <row r="7" spans="1:6">
      <c r="A7" s="66" t="s">
        <v>32</v>
      </c>
      <c r="B7" s="80" t="s">
        <v>46</v>
      </c>
      <c r="C7" s="71"/>
      <c r="D7" s="66" t="s">
        <v>47</v>
      </c>
      <c r="E7" s="71" t="s">
        <v>48</v>
      </c>
      <c r="F7" s="65"/>
    </row>
    <row r="8" spans="1:6">
      <c r="A8" s="66" t="s">
        <v>33</v>
      </c>
      <c r="B8" s="69" t="s">
        <v>49</v>
      </c>
      <c r="C8" s="72"/>
      <c r="D8" s="66" t="s">
        <v>50</v>
      </c>
      <c r="E8" s="79">
        <v>1</v>
      </c>
      <c r="F8" s="65"/>
    </row>
    <row r="9" spans="1:6">
      <c r="A9" s="66" t="s">
        <v>37</v>
      </c>
      <c r="B9" s="68" t="s">
        <v>51</v>
      </c>
      <c r="C9" s="71"/>
      <c r="D9" s="66" t="s">
        <v>52</v>
      </c>
      <c r="E9" s="71" t="s">
        <v>53</v>
      </c>
      <c r="F9" s="65"/>
    </row>
    <row r="10" spans="1:6">
      <c r="A10" s="66" t="s">
        <v>54</v>
      </c>
      <c r="B10" s="71" t="s">
        <v>55</v>
      </c>
      <c r="C10" s="65"/>
      <c r="D10" s="66" t="s">
        <v>56</v>
      </c>
      <c r="E10" s="71"/>
      <c r="F10" s="65"/>
    </row>
  </sheetData>
  <dataValidations count="9">
    <dataValidation type="list" allowBlank="1" showInputMessage="1" showErrorMessage="1" sqref="E7" xr:uid="{48D2DA14-2F5C-4279-A5FB-35904BBDA6A9}">
      <formula1>"Diario,Semanal,Mensual,Anual"</formula1>
    </dataValidation>
    <dataValidation type="list" allowBlank="1" showInputMessage="1" showErrorMessage="1" sqref="E4" xr:uid="{7CE1BBD1-EEB8-4112-A265-8C9911417400}">
      <formula1>"Una vez,Recurrente"</formula1>
    </dataValidation>
    <dataValidation type="list" allowBlank="1" showInputMessage="1" showErrorMessage="1" sqref="E9" xr:uid="{4850995A-0579-443A-AF25-4F46B540B58D}">
      <formula1>"Nunca,Hasta una fecha,Por un número de eventos"</formula1>
    </dataValidation>
    <dataValidation type="list" allowBlank="1" showInputMessage="1" showErrorMessage="1" sqref="C7" xr:uid="{11F2EB8C-F440-4899-9EF5-45449596E365}">
      <formula1>INDIRECT(#REF!)</formula1>
    </dataValidation>
    <dataValidation type="list" allowBlank="1" showInputMessage="1" showErrorMessage="1" sqref="C9" xr:uid="{7F238061-FEBD-4BB7-BBCE-E5DF7B889EFC}">
      <formula1>"definida,indefinida"</formula1>
    </dataValidation>
    <dataValidation type="list" allowBlank="1" showInputMessage="1" showErrorMessage="1" sqref="C6" xr:uid="{CB51BF50-0CA9-40C9-85AC-CF16233462E3}">
      <formula1>Credito</formula1>
    </dataValidation>
    <dataValidation type="list" allowBlank="1" showInputMessage="1" showErrorMessage="1" sqref="B6" xr:uid="{7BB52000-DBAA-49DF-9362-49ACD5EFD353}">
      <formula1>debito</formula1>
    </dataValidation>
    <dataValidation type="list" allowBlank="1" showInputMessage="1" showErrorMessage="1" sqref="B8" xr:uid="{A4F90B86-C5FE-47D1-A2F8-22B6AC14027B}">
      <formula1>INDIRECT($B$7)</formula1>
    </dataValidation>
    <dataValidation type="list" allowBlank="1" showInputMessage="1" showErrorMessage="1" sqref="B7" xr:uid="{91EDA20F-6145-40A0-A7E3-E9CF3905DAA9}">
      <formula1>CATEGORIAS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7"/>
  <sheetViews>
    <sheetView workbookViewId="0">
      <selection activeCell="F3" sqref="F3"/>
    </sheetView>
  </sheetViews>
  <sheetFormatPr defaultColWidth="9.140625" defaultRowHeight="15"/>
  <cols>
    <col min="1" max="1" width="10.42578125" customWidth="1"/>
    <col min="2" max="2" width="11.7109375" customWidth="1"/>
    <col min="3" max="3" width="13.140625" bestFit="1" customWidth="1"/>
    <col min="4" max="4" width="15.5703125" customWidth="1"/>
    <col min="5" max="5" width="22.5703125" bestFit="1" customWidth="1"/>
    <col min="6" max="6" width="15.5703125" customWidth="1"/>
    <col min="7" max="7" width="16" customWidth="1"/>
    <col min="8" max="8" width="14.140625" customWidth="1"/>
    <col min="9" max="9" width="16.85546875" customWidth="1"/>
    <col min="10" max="10" width="15.42578125" customWidth="1"/>
    <col min="11" max="11" width="15" bestFit="1" customWidth="1"/>
    <col min="12" max="12" width="10.7109375" customWidth="1"/>
    <col min="13" max="13" width="17.7109375" customWidth="1"/>
    <col min="14" max="14" width="11" customWidth="1"/>
    <col min="15" max="15" width="24.7109375" bestFit="1" customWidth="1"/>
    <col min="16" max="16" width="15.140625" customWidth="1"/>
  </cols>
  <sheetData>
    <row r="1" spans="1:16" ht="23.25">
      <c r="A1" s="82" t="s">
        <v>57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</row>
    <row r="2" spans="1:16">
      <c r="A2" s="54" t="s">
        <v>6</v>
      </c>
      <c r="B2" s="54" t="s">
        <v>58</v>
      </c>
      <c r="C2" s="76" t="s">
        <v>29</v>
      </c>
      <c r="D2" s="76" t="s">
        <v>43</v>
      </c>
      <c r="E2" s="76" t="s">
        <v>44</v>
      </c>
      <c r="F2" s="76" t="s">
        <v>32</v>
      </c>
      <c r="G2" s="76" t="s">
        <v>33</v>
      </c>
      <c r="H2" s="76" t="s">
        <v>37</v>
      </c>
      <c r="I2" s="76" t="s">
        <v>54</v>
      </c>
      <c r="J2" s="77" t="s">
        <v>41</v>
      </c>
      <c r="K2" s="77" t="s">
        <v>59</v>
      </c>
      <c r="L2" s="77" t="s">
        <v>45</v>
      </c>
      <c r="M2" s="77" t="s">
        <v>47</v>
      </c>
      <c r="N2" s="77" t="s">
        <v>50</v>
      </c>
      <c r="O2" s="77" t="s">
        <v>52</v>
      </c>
      <c r="P2" s="77" t="s">
        <v>56</v>
      </c>
    </row>
    <row r="3" spans="1:16">
      <c r="A3" s="54"/>
      <c r="B3" s="54" t="s">
        <v>21</v>
      </c>
      <c r="C3" s="76">
        <v>44567</v>
      </c>
      <c r="D3" s="76">
        <v>20000</v>
      </c>
      <c r="E3" s="76" t="s">
        <v>18</v>
      </c>
      <c r="F3" s="76" t="s">
        <v>46</v>
      </c>
      <c r="G3" s="76" t="s">
        <v>49</v>
      </c>
      <c r="H3" s="76" t="s">
        <v>51</v>
      </c>
      <c r="I3" s="76" t="s">
        <v>55</v>
      </c>
      <c r="J3" s="77" t="s">
        <v>42</v>
      </c>
      <c r="K3" s="77">
        <v>44627</v>
      </c>
      <c r="L3" s="77"/>
      <c r="M3" s="77" t="s">
        <v>48</v>
      </c>
      <c r="N3" s="77">
        <v>1</v>
      </c>
      <c r="O3" s="77" t="s">
        <v>53</v>
      </c>
      <c r="P3" s="77"/>
    </row>
    <row r="4" spans="1:16">
      <c r="A4" s="54"/>
      <c r="B4" s="54" t="s">
        <v>21</v>
      </c>
      <c r="C4" s="76">
        <v>44567</v>
      </c>
      <c r="D4" s="76">
        <v>20000</v>
      </c>
      <c r="E4" s="76" t="s">
        <v>18</v>
      </c>
      <c r="F4" s="76" t="s">
        <v>46</v>
      </c>
      <c r="G4" s="76" t="s">
        <v>49</v>
      </c>
      <c r="H4" s="76" t="s">
        <v>51</v>
      </c>
      <c r="I4" s="76" t="s">
        <v>55</v>
      </c>
      <c r="J4" s="77" t="s">
        <v>42</v>
      </c>
      <c r="K4" s="77">
        <v>44627</v>
      </c>
      <c r="L4" s="77"/>
      <c r="M4" s="77" t="s">
        <v>48</v>
      </c>
      <c r="N4" s="77">
        <v>1</v>
      </c>
      <c r="O4" s="77" t="s">
        <v>53</v>
      </c>
      <c r="P4" s="81"/>
    </row>
    <row r="7" spans="1:16">
      <c r="A7" t="s">
        <v>60</v>
      </c>
    </row>
  </sheetData>
  <mergeCells count="1">
    <mergeCell ref="A1:P1"/>
  </mergeCells>
  <conditionalFormatting sqref="E2:F4">
    <cfRule type="iconSet" priority="7">
      <iconSet iconSet="3Flags" showValue="0">
        <cfvo type="percent" val="0"/>
        <cfvo type="num" val="2"/>
        <cfvo type="num" val="3"/>
      </iconSet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ADC9E7D1-56A6-470E-9D56-68EC998AB0FC}">
            <x14:iconSet iconSet="3Symbols2" showValue="0" custom="1">
              <x14:cfvo type="percent">
                <xm:f>0</xm:f>
              </x14:cfvo>
              <x14:cfvo type="percent">
                <xm:f>3</xm:f>
              </x14:cfvo>
              <x14:cfvo type="percent">
                <xm:f>5</xm:f>
              </x14:cfvo>
              <x14:cfIcon iconSet="3Symbols2" iconId="2"/>
              <x14:cfIcon iconSet="3Symbols2" iconId="1"/>
              <x14:cfIcon iconSet="NoIcons" iconId="0"/>
            </x14:iconSet>
          </x14:cfRule>
          <xm:sqref>N2:N4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D0A96-42CC-4F51-904E-2BB6DE7273A2}">
  <sheetPr codeName="Hoja9"/>
  <dimension ref="A1:B9"/>
  <sheetViews>
    <sheetView workbookViewId="0"/>
  </sheetViews>
  <sheetFormatPr defaultColWidth="0" defaultRowHeight="15" zeroHeight="1"/>
  <cols>
    <col min="1" max="1" width="18.5703125" customWidth="1"/>
    <col min="2" max="2" width="44.5703125" customWidth="1"/>
    <col min="3" max="16384" width="11.42578125" hidden="1"/>
  </cols>
  <sheetData>
    <row r="1" spans="1:2" ht="45.75" customHeight="1">
      <c r="A1" s="42"/>
      <c r="B1" s="61" t="s">
        <v>61</v>
      </c>
    </row>
    <row r="2" spans="1:2">
      <c r="A2" s="43" t="s">
        <v>29</v>
      </c>
      <c r="B2" s="44">
        <f ca="1">TODAY()</f>
        <v>45384</v>
      </c>
    </row>
    <row r="3" spans="1:2">
      <c r="A3" s="43" t="s">
        <v>30</v>
      </c>
      <c r="B3" s="45" t="s">
        <v>62</v>
      </c>
    </row>
    <row r="4" spans="1:2">
      <c r="A4" s="43" t="s">
        <v>63</v>
      </c>
      <c r="B4" s="45" t="s">
        <v>64</v>
      </c>
    </row>
    <row r="5" spans="1:2">
      <c r="A5" s="43" t="s">
        <v>32</v>
      </c>
      <c r="B5" s="45" t="s">
        <v>65</v>
      </c>
    </row>
    <row r="6" spans="1:2">
      <c r="A6" s="43" t="s">
        <v>33</v>
      </c>
      <c r="B6" s="45" t="s">
        <v>66</v>
      </c>
    </row>
    <row r="7" spans="1:2">
      <c r="A7" s="43" t="s">
        <v>43</v>
      </c>
      <c r="B7" s="46"/>
    </row>
    <row r="8" spans="1:2">
      <c r="A8" s="43" t="s">
        <v>37</v>
      </c>
      <c r="B8" s="45"/>
    </row>
    <row r="9" spans="1:2">
      <c r="A9" s="43" t="s">
        <v>54</v>
      </c>
      <c r="B9" s="45"/>
    </row>
  </sheetData>
  <dataValidations count="3">
    <dataValidation type="list" allowBlank="1" showInputMessage="1" showErrorMessage="1" sqref="B5" xr:uid="{38312B43-CE5A-455C-97E6-BBAED6D70622}">
      <formula1>CATEGORIAS</formula1>
    </dataValidation>
    <dataValidation type="list" allowBlank="1" showInputMessage="1" showErrorMessage="1" sqref="B3:B4" xr:uid="{7A0B5781-9157-4CB5-8481-4D2858C6EEB6}">
      <formula1>debito</formula1>
    </dataValidation>
    <dataValidation type="list" allowBlank="1" showInputMessage="1" showErrorMessage="1" sqref="B9" xr:uid="{F72300B7-65DD-4D18-9A1E-C073A7BDE186}">
      <formula1>"si,no"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E04DFEF-4EED-4A10-A222-6DD9422DE469}">
          <x14:formula1>
            <xm:f>db_subcategorias!$F$6:$F$12</xm:f>
          </x14:formula1>
          <xm:sqref>B6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0778D-BD4C-4853-84D3-628047A215E7}">
  <sheetPr codeName="Hoja14"/>
  <dimension ref="A1:B8"/>
  <sheetViews>
    <sheetView workbookViewId="0"/>
  </sheetViews>
  <sheetFormatPr defaultColWidth="0" defaultRowHeight="15" zeroHeight="1"/>
  <cols>
    <col min="1" max="1" width="19.85546875" customWidth="1"/>
    <col min="2" max="2" width="44.42578125" customWidth="1"/>
    <col min="3" max="16384" width="11.42578125" hidden="1"/>
  </cols>
  <sheetData>
    <row r="1" spans="1:2" ht="45.75" customHeight="1">
      <c r="A1" s="48"/>
      <c r="B1" s="62"/>
    </row>
    <row r="2" spans="1:2">
      <c r="A2" s="49" t="s">
        <v>29</v>
      </c>
      <c r="B2" s="50">
        <f ca="1">TODAY()</f>
        <v>45384</v>
      </c>
    </row>
    <row r="3" spans="1:2">
      <c r="A3" s="49" t="s">
        <v>63</v>
      </c>
      <c r="B3" s="51"/>
    </row>
    <row r="4" spans="1:2">
      <c r="A4" s="49" t="s">
        <v>32</v>
      </c>
      <c r="B4" s="51"/>
    </row>
    <row r="5" spans="1:2">
      <c r="A5" s="49" t="s">
        <v>33</v>
      </c>
      <c r="B5" s="51"/>
    </row>
    <row r="6" spans="1:2">
      <c r="A6" s="49" t="s">
        <v>67</v>
      </c>
      <c r="B6" s="52"/>
    </row>
    <row r="7" spans="1:2">
      <c r="A7" s="49" t="s">
        <v>37</v>
      </c>
      <c r="B7" s="51"/>
    </row>
    <row r="8" spans="1:2">
      <c r="A8" s="49" t="s">
        <v>54</v>
      </c>
      <c r="B8" s="51"/>
    </row>
  </sheetData>
  <dataValidations count="3">
    <dataValidation type="list" allowBlank="1" showInputMessage="1" showErrorMessage="1" sqref="B4" xr:uid="{3A135F6D-A77E-4B15-B5FC-F91C2D39ECE7}">
      <formula1>CATEGORIAS</formula1>
    </dataValidation>
    <dataValidation type="list" allowBlank="1" showInputMessage="1" showErrorMessage="1" sqref="B3" xr:uid="{20D26A02-A11F-4B9F-B4CD-47F5FC2523FB}">
      <formula1>debito</formula1>
    </dataValidation>
    <dataValidation type="list" allowBlank="1" showInputMessage="1" showErrorMessage="1" sqref="B5" xr:uid="{9E0567B7-14E7-499C-ACE2-E2047BF6E2A5}">
      <formula1>INDIRECT($B$4)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01947-C15A-47EC-8211-CA4DC50B0C89}">
  <sheetPr codeName="Hoja15"/>
  <dimension ref="A1:B8"/>
  <sheetViews>
    <sheetView tabSelected="1" zoomScale="145" zoomScaleNormal="145" workbookViewId="0">
      <selection activeCell="B4" sqref="B4"/>
    </sheetView>
  </sheetViews>
  <sheetFormatPr defaultColWidth="0" defaultRowHeight="15" zeroHeight="1"/>
  <cols>
    <col min="1" max="1" width="19.85546875" style="36" customWidth="1"/>
    <col min="2" max="2" width="44.42578125" style="36" customWidth="1"/>
    <col min="3" max="16384" width="11.42578125" hidden="1"/>
  </cols>
  <sheetData>
    <row r="1" spans="1:2" ht="51" customHeight="1">
      <c r="B1" s="40" t="s">
        <v>68</v>
      </c>
    </row>
    <row r="2" spans="1:2">
      <c r="A2" s="37" t="s">
        <v>29</v>
      </c>
      <c r="B2" s="38">
        <f ca="1">TODAY()</f>
        <v>45384</v>
      </c>
    </row>
    <row r="3" spans="1:2">
      <c r="A3" s="37" t="s">
        <v>30</v>
      </c>
      <c r="B3" s="39" t="s">
        <v>18</v>
      </c>
    </row>
    <row r="4" spans="1:2">
      <c r="A4" s="37" t="s">
        <v>32</v>
      </c>
      <c r="B4" s="39"/>
    </row>
    <row r="5" spans="1:2">
      <c r="A5" s="37" t="s">
        <v>33</v>
      </c>
      <c r="B5" s="39"/>
    </row>
    <row r="6" spans="1:2">
      <c r="A6" s="37" t="s">
        <v>34</v>
      </c>
      <c r="B6" s="47"/>
    </row>
    <row r="7" spans="1:2">
      <c r="A7" s="37" t="s">
        <v>37</v>
      </c>
      <c r="B7" s="39"/>
    </row>
    <row r="8" spans="1:2">
      <c r="A8" s="37" t="s">
        <v>54</v>
      </c>
      <c r="B8" s="39"/>
    </row>
  </sheetData>
  <dataValidations count="5">
    <dataValidation type="list" allowBlank="1" showInputMessage="1" showErrorMessage="1" sqref="B5" xr:uid="{D7B78CED-E9A4-4D78-9F78-96B8019E2C99}">
      <formula1>INDIRECT($B$4)</formula1>
    </dataValidation>
    <dataValidation type="list" allowBlank="1" showInputMessage="1" showErrorMessage="1" sqref="B3" xr:uid="{CB026F7F-8BE2-40A8-AF07-96D75828E69B}">
      <formula1>debito</formula1>
    </dataValidation>
    <dataValidation type="list" allowBlank="1" showInputMessage="1" showErrorMessage="1" sqref="B4" xr:uid="{C91ED523-B304-4D40-B478-A155DB49C151}">
      <formula1>CATEGORIAS</formula1>
    </dataValidation>
    <dataValidation type="list" allowBlank="1" showInputMessage="1" showErrorMessage="1" sqref="B4" xr:uid="{7D8FB601-1F04-4B1B-B886-269A3841F9A2}">
      <formula1>CUENTAS</formula1>
    </dataValidation>
    <dataValidation type="date" allowBlank="1" showInputMessage="1" showErrorMessage="1" error="Debe ingresar una fecha" sqref="B2" xr:uid="{DAE52CEE-7FF8-4A44-A7FB-7292B53DEBD1}">
      <formula1>36526</formula1>
      <formula2>51136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24553-05A9-4AF9-A0C6-4DE432E06AE1}">
  <sheetPr codeName="Hoja2"/>
  <dimension ref="A1:N21"/>
  <sheetViews>
    <sheetView workbookViewId="0"/>
  </sheetViews>
  <sheetFormatPr defaultColWidth="11.42578125" defaultRowHeight="15"/>
  <cols>
    <col min="1" max="1" width="9.140625" customWidth="1"/>
    <col min="2" max="2" width="43.85546875" customWidth="1"/>
    <col min="3" max="3" width="19.140625" bestFit="1" customWidth="1"/>
    <col min="4" max="4" width="16.28515625" customWidth="1"/>
    <col min="5" max="5" width="18.42578125" customWidth="1"/>
    <col min="6" max="6" width="20.42578125" customWidth="1"/>
    <col min="7" max="7" width="22.85546875" customWidth="1"/>
    <col min="8" max="8" width="30.5703125" customWidth="1"/>
    <col min="9" max="9" width="32.28515625" customWidth="1"/>
  </cols>
  <sheetData>
    <row r="1" spans="1:14" ht="33" customHeight="1">
      <c r="A1" s="2" t="s">
        <v>6</v>
      </c>
      <c r="B1" s="2" t="s">
        <v>69</v>
      </c>
      <c r="C1" s="2" t="s">
        <v>16</v>
      </c>
      <c r="D1" s="2" t="s">
        <v>70</v>
      </c>
      <c r="E1" s="2" t="s">
        <v>71</v>
      </c>
      <c r="F1" s="2" t="s">
        <v>72</v>
      </c>
      <c r="G1" s="2" t="s">
        <v>73</v>
      </c>
      <c r="H1" s="2" t="s">
        <v>74</v>
      </c>
      <c r="I1" s="2" t="s">
        <v>75</v>
      </c>
      <c r="J1" s="2" t="s">
        <v>76</v>
      </c>
      <c r="K1" s="2" t="s">
        <v>77</v>
      </c>
      <c r="L1" s="2" t="s">
        <v>78</v>
      </c>
      <c r="M1" s="2" t="s">
        <v>79</v>
      </c>
      <c r="N1" s="2" t="s">
        <v>80</v>
      </c>
    </row>
    <row r="2" spans="1:14">
      <c r="A2" s="7">
        <v>1</v>
      </c>
      <c r="B2" s="3" t="s">
        <v>31</v>
      </c>
      <c r="C2" s="3" t="s">
        <v>81</v>
      </c>
      <c r="D2" s="4">
        <v>510000</v>
      </c>
      <c r="E2" s="5">
        <f>SUMIFS([1]!registros_tabla[Cargo],[1]!registros_tabla[Cuenta origen],#REF!)</f>
        <v>0</v>
      </c>
      <c r="F2" s="6">
        <f>db_cuentas[[#This Row],[CUPO_CREDITO]]-db_cuentas[[#This Row],[CREDITO_UTILIZADO]]</f>
        <v>510000</v>
      </c>
      <c r="G2" s="5">
        <v>0</v>
      </c>
      <c r="H2" s="3" t="s">
        <v>82</v>
      </c>
      <c r="I2" s="3" t="s">
        <v>83</v>
      </c>
      <c r="J2" s="7">
        <v>5</v>
      </c>
      <c r="K2" s="8">
        <v>6</v>
      </c>
      <c r="L2" s="7" t="s">
        <v>84</v>
      </c>
      <c r="M2" s="7">
        <v>19</v>
      </c>
      <c r="N2" s="9">
        <v>3123</v>
      </c>
    </row>
    <row r="3" spans="1:14">
      <c r="A3" s="7">
        <v>2</v>
      </c>
      <c r="B3" s="3" t="s">
        <v>85</v>
      </c>
      <c r="C3" s="3" t="s">
        <v>81</v>
      </c>
      <c r="D3" s="4">
        <v>1300000</v>
      </c>
      <c r="E3" s="5">
        <f>SUMIFS([1]!registros_tabla[Cargo],[1]!registros_tabla[Cuenta origen],#REF!)</f>
        <v>0</v>
      </c>
      <c r="F3" s="6">
        <f>db_cuentas[[#This Row],[CUPO_CREDITO]]-db_cuentas[[#This Row],[CREDITO_UTILIZADO]]</f>
        <v>1300000</v>
      </c>
      <c r="G3" s="5">
        <v>0</v>
      </c>
      <c r="H3" s="3" t="s">
        <v>86</v>
      </c>
      <c r="I3" s="3" t="s">
        <v>87</v>
      </c>
      <c r="J3" s="8">
        <v>18</v>
      </c>
      <c r="K3" s="7"/>
      <c r="L3" s="7"/>
      <c r="M3" s="7"/>
      <c r="N3" s="9"/>
    </row>
    <row r="4" spans="1:14">
      <c r="A4" s="7">
        <v>3</v>
      </c>
      <c r="B4" s="3" t="s">
        <v>88</v>
      </c>
      <c r="C4" s="3" t="s">
        <v>81</v>
      </c>
      <c r="D4" s="4">
        <v>1483</v>
      </c>
      <c r="E4" s="5">
        <f>SUMIFS([1]!registros_tabla[Cargo],[1]!registros_tabla[Cuenta origen],#REF!)</f>
        <v>0</v>
      </c>
      <c r="F4" s="6">
        <f>db_cuentas[[#This Row],[CUPO_CREDITO]]-db_cuentas[[#This Row],[CREDITO_UTILIZADO]]</f>
        <v>1483</v>
      </c>
      <c r="G4" s="5">
        <v>0</v>
      </c>
      <c r="H4" s="3" t="s">
        <v>86</v>
      </c>
      <c r="I4" s="3" t="s">
        <v>89</v>
      </c>
      <c r="J4" s="7">
        <v>18</v>
      </c>
      <c r="K4" s="7"/>
      <c r="L4" s="7"/>
      <c r="M4" s="7"/>
      <c r="N4" s="9"/>
    </row>
    <row r="5" spans="1:14">
      <c r="A5" s="7">
        <v>4</v>
      </c>
      <c r="B5" s="3" t="s">
        <v>90</v>
      </c>
      <c r="C5" s="3" t="s">
        <v>81</v>
      </c>
      <c r="D5" s="4">
        <v>441583</v>
      </c>
      <c r="E5" s="5">
        <f>SUMIFS([1]!registros_tabla[Cargo],[1]!registros_tabla[Cuenta origen],#REF!)</f>
        <v>0</v>
      </c>
      <c r="F5" s="6">
        <f>db_cuentas[[#This Row],[CUPO_CREDITO]]-db_cuentas[[#This Row],[CREDITO_UTILIZADO]]</f>
        <v>441583</v>
      </c>
      <c r="G5" s="5">
        <v>0</v>
      </c>
      <c r="H5" s="3" t="s">
        <v>91</v>
      </c>
      <c r="I5" s="3" t="s">
        <v>92</v>
      </c>
      <c r="J5" s="7"/>
      <c r="K5" s="7"/>
      <c r="L5" s="7"/>
      <c r="M5" s="7">
        <v>24</v>
      </c>
      <c r="N5" s="9"/>
    </row>
    <row r="6" spans="1:14">
      <c r="A6" s="7">
        <v>5</v>
      </c>
      <c r="B6" s="3" t="s">
        <v>93</v>
      </c>
      <c r="C6" s="3" t="s">
        <v>81</v>
      </c>
      <c r="D6" s="4">
        <v>501.36</v>
      </c>
      <c r="E6" s="5">
        <f>SUMIFS([1]!registros_tabla[Cargo],[1]!registros_tabla[Cuenta origen],#REF!)</f>
        <v>0</v>
      </c>
      <c r="F6" s="6">
        <f>db_cuentas[[#This Row],[CUPO_CREDITO]]-db_cuentas[[#This Row],[CREDITO_UTILIZADO]]</f>
        <v>501.36</v>
      </c>
      <c r="G6" s="5">
        <v>0</v>
      </c>
      <c r="H6" s="3" t="s">
        <v>91</v>
      </c>
      <c r="I6" s="3" t="s">
        <v>94</v>
      </c>
      <c r="J6" s="7"/>
      <c r="K6" s="7"/>
      <c r="L6" s="7"/>
      <c r="M6" s="7">
        <v>24</v>
      </c>
      <c r="N6" s="9"/>
    </row>
    <row r="7" spans="1:14">
      <c r="A7" s="7">
        <v>6</v>
      </c>
      <c r="B7" s="3" t="s">
        <v>62</v>
      </c>
      <c r="C7" s="3" t="s">
        <v>95</v>
      </c>
      <c r="D7" s="10">
        <v>0</v>
      </c>
      <c r="E7" s="5">
        <f>SUMIFS([1]!registros_tabla[Cargo],[1]!registros_tabla[Cuenta origen],#REF!)</f>
        <v>0</v>
      </c>
      <c r="F7" s="6">
        <f>db_cuentas[[#This Row],[CUPO_CREDITO]]-db_cuentas[[#This Row],[CREDITO_UTILIZADO]]</f>
        <v>0</v>
      </c>
      <c r="G7" s="5">
        <v>0</v>
      </c>
      <c r="H7" s="3" t="s">
        <v>86</v>
      </c>
    </row>
    <row r="8" spans="1:14">
      <c r="A8" s="7">
        <v>7</v>
      </c>
      <c r="B8" s="3" t="s">
        <v>18</v>
      </c>
      <c r="C8" s="3" t="s">
        <v>95</v>
      </c>
      <c r="D8" s="10">
        <v>500000</v>
      </c>
      <c r="E8" s="5">
        <f>SUMIFS([1]!registros_tabla[Cargo],[1]!registros_tabla[Cuenta origen],#REF!)</f>
        <v>0</v>
      </c>
      <c r="F8" s="6">
        <f>db_cuentas[[#This Row],[CUPO_CREDITO]]-db_cuentas[[#This Row],[CREDITO_UTILIZADO]]</f>
        <v>500000</v>
      </c>
      <c r="G8" s="5">
        <v>500000</v>
      </c>
      <c r="H8" s="3" t="s">
        <v>91</v>
      </c>
    </row>
    <row r="9" spans="1:14">
      <c r="A9" s="1">
        <v>9</v>
      </c>
      <c r="B9" s="3" t="s">
        <v>96</v>
      </c>
      <c r="C9" s="3" t="s">
        <v>97</v>
      </c>
      <c r="D9" s="10">
        <v>0</v>
      </c>
      <c r="E9" s="10">
        <f>SUMIFS([1]!registros_tabla[Cargo],[1]!registros_tabla[Cuenta origen],#REF!)</f>
        <v>0</v>
      </c>
      <c r="F9" s="6">
        <f>db_cuentas[[#This Row],[CUPO_CREDITO]]-db_cuentas[[#This Row],[CREDITO_UTILIZADO]]</f>
        <v>0</v>
      </c>
      <c r="G9" s="5">
        <v>2160000</v>
      </c>
      <c r="H9" s="3" t="s">
        <v>86</v>
      </c>
    </row>
    <row r="10" spans="1:14">
      <c r="A10" s="1">
        <v>10</v>
      </c>
      <c r="B10" s="3" t="s">
        <v>64</v>
      </c>
      <c r="C10" s="3" t="s">
        <v>95</v>
      </c>
      <c r="D10" s="10">
        <v>100000</v>
      </c>
      <c r="E10" s="10">
        <f>SUMIFS([1]!registros_tabla[Cargo],[1]!registros_tabla[Cuenta origen],#REF!)</f>
        <v>0</v>
      </c>
      <c r="F10" s="6">
        <f>db_cuentas[[#This Row],[CUPO_CREDITO]]-db_cuentas[[#This Row],[CREDITO_UTILIZADO]]</f>
        <v>100000</v>
      </c>
      <c r="G10" s="5">
        <v>35000</v>
      </c>
      <c r="H10" s="3" t="s">
        <v>86</v>
      </c>
    </row>
    <row r="11" spans="1:14">
      <c r="A11" s="1">
        <v>11</v>
      </c>
      <c r="B11" s="3" t="s">
        <v>98</v>
      </c>
      <c r="C11" s="3" t="s">
        <v>95</v>
      </c>
      <c r="D11" s="10"/>
      <c r="E11" s="10">
        <f>SUMIFS([1]!registros_tabla[Cargo],[1]!registros_tabla[Cuenta origen],#REF!)</f>
        <v>0</v>
      </c>
      <c r="F11" s="6">
        <f>db_cuentas[[#This Row],[CUPO_CREDITO]]-db_cuentas[[#This Row],[CREDITO_UTILIZADO]]</f>
        <v>0</v>
      </c>
      <c r="G11" s="5"/>
      <c r="H11" s="3"/>
    </row>
    <row r="12" spans="1:14">
      <c r="A12" s="1">
        <v>12</v>
      </c>
      <c r="B12" s="3" t="s">
        <v>99</v>
      </c>
      <c r="C12" s="3" t="s">
        <v>100</v>
      </c>
      <c r="D12" s="10"/>
      <c r="E12" s="10">
        <f>SUMIFS([1]!registros_tabla[Cargo],[1]!registros_tabla[Cuenta origen],#REF!)</f>
        <v>0</v>
      </c>
      <c r="F12" s="6">
        <f>db_cuentas[[#This Row],[CUPO_CREDITO]]-db_cuentas[[#This Row],[CREDITO_UTILIZADO]]</f>
        <v>0</v>
      </c>
      <c r="G12" s="5"/>
      <c r="H12" s="3"/>
    </row>
    <row r="16" spans="1:14">
      <c r="B16" t="s">
        <v>81</v>
      </c>
      <c r="C16" t="s">
        <v>95</v>
      </c>
    </row>
    <row r="17" spans="2:3">
      <c r="B17" t="str" cm="1">
        <f t="array" ref="B17:B21">_xlfn._xlws.FILTER(db_cuentas[NOMBRE],db_cuentas[TIPO]="Credito")</f>
        <v>CMR Mastercard</v>
      </c>
      <c r="C17" t="str" cm="1">
        <f t="array" ref="C17:C20">_xlfn._xlws.FILTER(db_cuentas[NOMBRE],db_cuentas[TIPO]="Debito","no hay debito")</f>
        <v>Banco Estado Cuenta rut</v>
      </c>
    </row>
    <row r="18" spans="2:3">
      <c r="B18" t="str">
        <v>Banco Estado Mastercard Nacional CLP</v>
      </c>
      <c r="C18" t="str">
        <v>Banco de Chile Cuenta corriente</v>
      </c>
    </row>
    <row r="19" spans="2:3">
      <c r="B19" t="str">
        <v>Banco Estado Mastercard Internacional USD</v>
      </c>
      <c r="C19" t="str">
        <v>Banco Estado cuenta corriente</v>
      </c>
    </row>
    <row r="20" spans="2:3">
      <c r="B20" t="str">
        <v>Banco de Chile VISA Platinium Nacional CLP</v>
      </c>
      <c r="C20" t="str">
        <v>Efectivo</v>
      </c>
    </row>
    <row r="21" spans="2:3">
      <c r="B21" t="str">
        <v>Banco de Chile VISA Platinium Internacional USD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51CA8-48D4-46CD-9168-E02BAB004AB7}">
  <sheetPr codeName="Hoja12"/>
  <dimension ref="A1"/>
  <sheetViews>
    <sheetView workbookViewId="0"/>
  </sheetViews>
  <sheetFormatPr defaultColWidth="11.42578125"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3BF45-4C7B-4F10-AC2A-6AE978231DB5}">
  <sheetPr codeName="Hoja10"/>
  <dimension ref="A1:H46"/>
  <sheetViews>
    <sheetView workbookViewId="0"/>
  </sheetViews>
  <sheetFormatPr defaultColWidth="11.42578125" defaultRowHeight="15"/>
  <cols>
    <col min="1" max="1" width="8.5703125" style="1" customWidth="1"/>
    <col min="2" max="2" width="21.85546875" bestFit="1" customWidth="1"/>
    <col min="3" max="3" width="13.42578125" customWidth="1"/>
    <col min="4" max="4" width="14.5703125" customWidth="1"/>
  </cols>
  <sheetData>
    <row r="1" spans="1:8">
      <c r="A1" s="1" t="s">
        <v>6</v>
      </c>
      <c r="B1" t="s">
        <v>69</v>
      </c>
      <c r="C1" t="s">
        <v>8</v>
      </c>
    </row>
    <row r="2" spans="1:8" ht="15.75">
      <c r="A2" s="1">
        <v>1</v>
      </c>
      <c r="B2" s="25" t="s">
        <v>101</v>
      </c>
      <c r="C2" t="s">
        <v>102</v>
      </c>
    </row>
    <row r="3" spans="1:8" ht="15.75">
      <c r="A3" s="1">
        <v>2</v>
      </c>
      <c r="B3" s="26" t="s">
        <v>103</v>
      </c>
      <c r="C3" t="s">
        <v>102</v>
      </c>
      <c r="H3" s="16"/>
    </row>
    <row r="4" spans="1:8" ht="15.75">
      <c r="A4" s="1">
        <v>3</v>
      </c>
      <c r="B4" s="26" t="s">
        <v>104</v>
      </c>
      <c r="C4" t="s">
        <v>102</v>
      </c>
      <c r="H4" s="17"/>
    </row>
    <row r="5" spans="1:8" ht="15.75">
      <c r="A5" s="1">
        <v>4</v>
      </c>
      <c r="B5" s="26" t="s">
        <v>105</v>
      </c>
      <c r="C5" t="s">
        <v>102</v>
      </c>
      <c r="H5" s="18"/>
    </row>
    <row r="6" spans="1:8">
      <c r="A6" s="1">
        <v>5</v>
      </c>
      <c r="B6" s="27" t="s">
        <v>106</v>
      </c>
      <c r="C6" t="s">
        <v>102</v>
      </c>
      <c r="E6" t="str" cm="1">
        <f t="array" ref="E6:E15">_xlfn.UNIQUE(Tabla5[CATEGORIA])</f>
        <v>Vivienda</v>
      </c>
      <c r="F6" t="str" cm="1">
        <f t="array" ref="F6:F9">_xlfn._xlws.FILTER(Tabla5[NOMBRE],view_compra_credito!B4=Tabla5[CATEGORIA])</f>
        <v>Mercadería</v>
      </c>
      <c r="H6" s="19"/>
    </row>
    <row r="7" spans="1:8">
      <c r="A7" s="1">
        <v>6</v>
      </c>
      <c r="B7" s="27" t="s">
        <v>107</v>
      </c>
      <c r="C7" t="s">
        <v>102</v>
      </c>
      <c r="E7" t="str">
        <v>Estudios</v>
      </c>
      <c r="F7" t="str">
        <v>Bar, restaurant</v>
      </c>
      <c r="H7" s="19"/>
    </row>
    <row r="8" spans="1:8">
      <c r="A8" s="1">
        <v>7</v>
      </c>
      <c r="B8" s="27" t="s">
        <v>108</v>
      </c>
      <c r="C8" t="s">
        <v>65</v>
      </c>
      <c r="E8" t="str">
        <v>Transporte</v>
      </c>
      <c r="F8" t="str">
        <v>Delivery</v>
      </c>
      <c r="H8" s="20"/>
    </row>
    <row r="9" spans="1:8" ht="15.75">
      <c r="A9" s="1">
        <v>8</v>
      </c>
      <c r="B9" s="26" t="s">
        <v>109</v>
      </c>
      <c r="C9" t="s">
        <v>65</v>
      </c>
      <c r="E9" t="str">
        <v>Salud</v>
      </c>
      <c r="F9" t="str">
        <v>Snack</v>
      </c>
      <c r="H9" s="21"/>
    </row>
    <row r="10" spans="1:8">
      <c r="A10" s="1">
        <v>9</v>
      </c>
      <c r="B10" s="27" t="s">
        <v>110</v>
      </c>
      <c r="C10" t="s">
        <v>65</v>
      </c>
      <c r="E10" t="str">
        <v>Servicios</v>
      </c>
      <c r="H10" s="22"/>
    </row>
    <row r="11" spans="1:8">
      <c r="A11" s="1">
        <v>10</v>
      </c>
      <c r="B11" s="27" t="s">
        <v>111</v>
      </c>
      <c r="C11" t="s">
        <v>65</v>
      </c>
      <c r="E11" t="str">
        <v>Automovil</v>
      </c>
      <c r="H11" s="22"/>
    </row>
    <row r="12" spans="1:8">
      <c r="A12" s="1">
        <v>11</v>
      </c>
      <c r="B12" s="27" t="s">
        <v>112</v>
      </c>
      <c r="C12" t="s">
        <v>25</v>
      </c>
      <c r="E12" t="str">
        <v>Ahorro</v>
      </c>
      <c r="H12" s="23"/>
    </row>
    <row r="13" spans="1:8" ht="15.75">
      <c r="A13" s="1">
        <v>12</v>
      </c>
      <c r="B13" s="26" t="s">
        <v>4</v>
      </c>
      <c r="C13" t="s">
        <v>25</v>
      </c>
      <c r="E13" t="str">
        <v>Productos</v>
      </c>
      <c r="H13" s="24"/>
    </row>
    <row r="14" spans="1:8">
      <c r="A14" s="1">
        <v>13</v>
      </c>
      <c r="B14" s="27" t="s">
        <v>113</v>
      </c>
      <c r="C14" t="s">
        <v>25</v>
      </c>
      <c r="E14" t="str">
        <v>Comida</v>
      </c>
    </row>
    <row r="15" spans="1:8" ht="15.75">
      <c r="A15" s="1">
        <v>14</v>
      </c>
      <c r="B15" s="26" t="s">
        <v>114</v>
      </c>
      <c r="C15" t="s">
        <v>115</v>
      </c>
      <c r="E15" t="str">
        <v>Entretención</v>
      </c>
    </row>
    <row r="16" spans="1:8">
      <c r="A16" s="1">
        <v>15</v>
      </c>
      <c r="B16" s="27" t="s">
        <v>116</v>
      </c>
      <c r="C16" t="s">
        <v>115</v>
      </c>
    </row>
    <row r="17" spans="1:3">
      <c r="A17" s="1">
        <v>16</v>
      </c>
      <c r="B17" s="27" t="s">
        <v>117</v>
      </c>
      <c r="C17" t="s">
        <v>115</v>
      </c>
    </row>
    <row r="18" spans="1:3">
      <c r="A18" s="1">
        <v>17</v>
      </c>
      <c r="B18" s="27" t="s">
        <v>118</v>
      </c>
      <c r="C18" t="s">
        <v>115</v>
      </c>
    </row>
    <row r="19" spans="1:3" ht="15.75">
      <c r="A19" s="1">
        <v>18</v>
      </c>
      <c r="B19" s="26" t="s">
        <v>119</v>
      </c>
      <c r="C19" t="s">
        <v>115</v>
      </c>
    </row>
    <row r="20" spans="1:3">
      <c r="A20" s="1">
        <v>19</v>
      </c>
      <c r="B20" s="27" t="s">
        <v>120</v>
      </c>
      <c r="C20" t="s">
        <v>115</v>
      </c>
    </row>
    <row r="21" spans="1:3" ht="15.75">
      <c r="A21" s="1">
        <v>20</v>
      </c>
      <c r="B21" s="26" t="s">
        <v>2</v>
      </c>
      <c r="C21" t="s">
        <v>22</v>
      </c>
    </row>
    <row r="22" spans="1:3" ht="15.75">
      <c r="A22" s="1">
        <v>21</v>
      </c>
      <c r="B22" s="26" t="s">
        <v>121</v>
      </c>
      <c r="C22" t="s">
        <v>22</v>
      </c>
    </row>
    <row r="23" spans="1:3" ht="15.75">
      <c r="A23" s="1">
        <v>22</v>
      </c>
      <c r="B23" s="26" t="s">
        <v>122</v>
      </c>
      <c r="C23" t="s">
        <v>22</v>
      </c>
    </row>
    <row r="24" spans="1:3" ht="15.75">
      <c r="A24" s="1">
        <v>23</v>
      </c>
      <c r="B24" s="26" t="s">
        <v>66</v>
      </c>
      <c r="C24" t="s">
        <v>22</v>
      </c>
    </row>
    <row r="25" spans="1:3">
      <c r="A25" s="1">
        <v>24</v>
      </c>
      <c r="B25" s="27" t="s">
        <v>123</v>
      </c>
      <c r="C25" t="s">
        <v>22</v>
      </c>
    </row>
    <row r="26" spans="1:3" ht="15.75">
      <c r="A26" s="1">
        <v>25</v>
      </c>
      <c r="B26" s="26" t="s">
        <v>124</v>
      </c>
      <c r="C26" t="s">
        <v>125</v>
      </c>
    </row>
    <row r="27" spans="1:3" ht="15.75">
      <c r="A27" s="1">
        <v>26</v>
      </c>
      <c r="B27" s="26" t="s">
        <v>126</v>
      </c>
      <c r="C27" t="s">
        <v>125</v>
      </c>
    </row>
    <row r="28" spans="1:3">
      <c r="A28" s="1">
        <v>27</v>
      </c>
      <c r="B28" s="28" t="s">
        <v>127</v>
      </c>
      <c r="C28" t="s">
        <v>125</v>
      </c>
    </row>
    <row r="29" spans="1:3">
      <c r="A29" s="1">
        <v>28</v>
      </c>
      <c r="B29" s="28" t="s">
        <v>128</v>
      </c>
      <c r="C29" t="s">
        <v>125</v>
      </c>
    </row>
    <row r="30" spans="1:3">
      <c r="A30" s="1">
        <v>29</v>
      </c>
      <c r="B30" s="28" t="s">
        <v>129</v>
      </c>
      <c r="C30" t="s">
        <v>125</v>
      </c>
    </row>
    <row r="31" spans="1:3">
      <c r="A31" s="1">
        <v>30</v>
      </c>
      <c r="B31" s="27" t="s">
        <v>130</v>
      </c>
      <c r="C31" t="s">
        <v>125</v>
      </c>
    </row>
    <row r="32" spans="1:3">
      <c r="A32" s="1">
        <v>31</v>
      </c>
      <c r="B32" s="27" t="s">
        <v>131</v>
      </c>
      <c r="C32" t="s">
        <v>125</v>
      </c>
    </row>
    <row r="33" spans="1:3" ht="15.75">
      <c r="A33" s="1">
        <v>32</v>
      </c>
      <c r="B33" s="26" t="s">
        <v>102</v>
      </c>
      <c r="C33" t="s">
        <v>97</v>
      </c>
    </row>
    <row r="34" spans="1:3" ht="15.75">
      <c r="A34" s="1">
        <v>33</v>
      </c>
      <c r="B34" s="26" t="s">
        <v>132</v>
      </c>
      <c r="C34" t="s">
        <v>97</v>
      </c>
    </row>
    <row r="35" spans="1:3" ht="15.75">
      <c r="A35" s="1">
        <v>34</v>
      </c>
      <c r="B35" s="26" t="s">
        <v>133</v>
      </c>
      <c r="C35" t="s">
        <v>97</v>
      </c>
    </row>
    <row r="36" spans="1:3">
      <c r="A36" s="1">
        <v>35</v>
      </c>
      <c r="B36" s="27" t="s">
        <v>134</v>
      </c>
      <c r="C36" t="s">
        <v>135</v>
      </c>
    </row>
    <row r="37" spans="1:3">
      <c r="A37" s="1">
        <v>36</v>
      </c>
      <c r="B37" s="27" t="s">
        <v>136</v>
      </c>
      <c r="C37" t="s">
        <v>135</v>
      </c>
    </row>
    <row r="38" spans="1:3">
      <c r="A38" s="1">
        <v>37</v>
      </c>
      <c r="B38" s="27" t="s">
        <v>137</v>
      </c>
      <c r="C38" t="s">
        <v>135</v>
      </c>
    </row>
    <row r="39" spans="1:3">
      <c r="A39" s="1">
        <v>38</v>
      </c>
      <c r="B39" s="27" t="s">
        <v>131</v>
      </c>
      <c r="C39" t="s">
        <v>135</v>
      </c>
    </row>
    <row r="40" spans="1:3">
      <c r="A40" s="1">
        <v>39</v>
      </c>
      <c r="B40" s="27" t="s">
        <v>138</v>
      </c>
      <c r="C40" t="s">
        <v>17</v>
      </c>
    </row>
    <row r="41" spans="1:3">
      <c r="A41" s="1">
        <v>40</v>
      </c>
      <c r="B41" s="27" t="s">
        <v>139</v>
      </c>
      <c r="C41" t="s">
        <v>17</v>
      </c>
    </row>
    <row r="42" spans="1:3">
      <c r="A42" s="1">
        <v>41</v>
      </c>
      <c r="B42" s="27" t="s">
        <v>140</v>
      </c>
      <c r="C42" t="s">
        <v>17</v>
      </c>
    </row>
    <row r="43" spans="1:3">
      <c r="A43" s="1">
        <v>42</v>
      </c>
      <c r="B43" s="27" t="s">
        <v>3</v>
      </c>
      <c r="C43" t="s">
        <v>17</v>
      </c>
    </row>
    <row r="44" spans="1:3">
      <c r="A44" s="1">
        <v>43</v>
      </c>
      <c r="B44" s="28" t="s">
        <v>141</v>
      </c>
      <c r="C44" t="s">
        <v>46</v>
      </c>
    </row>
    <row r="45" spans="1:3">
      <c r="A45" s="1">
        <v>44</v>
      </c>
      <c r="B45" s="27" t="s">
        <v>49</v>
      </c>
      <c r="C45" t="s">
        <v>46</v>
      </c>
    </row>
    <row r="46" spans="1:3">
      <c r="A46" s="1">
        <v>45</v>
      </c>
      <c r="B46" s="29" t="s">
        <v>142</v>
      </c>
      <c r="C46" t="s">
        <v>46</v>
      </c>
    </row>
  </sheetData>
  <conditionalFormatting sqref="B25 B14 B10:B11 B18 B28:B30">
    <cfRule type="iconSet" priority="4">
      <iconSet iconSet="3Flags" showValue="0">
        <cfvo type="percent" val="0"/>
        <cfvo type="num" val="2"/>
        <cfvo type="num" val="3"/>
      </iconSet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4C4FE-667C-401A-8CF2-65A92D5ACFB3}">
  <sheetPr codeName="Hoja3"/>
  <dimension ref="A1:L1"/>
  <sheetViews>
    <sheetView topLeftCell="B1" workbookViewId="0"/>
  </sheetViews>
  <sheetFormatPr defaultColWidth="11.42578125" defaultRowHeight="15"/>
  <cols>
    <col min="1" max="1" width="7" customWidth="1"/>
    <col min="3" max="3" width="18.42578125" customWidth="1"/>
    <col min="4" max="4" width="19.140625" customWidth="1"/>
    <col min="5" max="5" width="17" customWidth="1"/>
    <col min="7" max="7" width="22.140625" customWidth="1"/>
    <col min="8" max="8" width="18" customWidth="1"/>
    <col min="9" max="9" width="15" customWidth="1"/>
    <col min="10" max="10" width="20.28515625" customWidth="1"/>
    <col min="11" max="11" width="16.42578125" customWidth="1"/>
    <col min="12" max="12" width="15.7109375" customWidth="1"/>
  </cols>
  <sheetData>
    <row r="1" spans="1:12">
      <c r="A1" t="s">
        <v>6</v>
      </c>
      <c r="B1" t="s">
        <v>7</v>
      </c>
      <c r="C1" t="s">
        <v>10</v>
      </c>
      <c r="D1" t="s">
        <v>9</v>
      </c>
      <c r="E1" t="s">
        <v>12</v>
      </c>
      <c r="F1" t="s">
        <v>143</v>
      </c>
      <c r="G1" t="s">
        <v>144</v>
      </c>
      <c r="H1" t="s">
        <v>14</v>
      </c>
      <c r="I1" t="s">
        <v>145</v>
      </c>
      <c r="J1" t="s">
        <v>146</v>
      </c>
      <c r="K1" t="s">
        <v>147</v>
      </c>
      <c r="L1" t="s">
        <v>15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win10</dc:creator>
  <cp:keywords/>
  <dc:description/>
  <cp:lastModifiedBy>gonzalo araya</cp:lastModifiedBy>
  <cp:revision/>
  <dcterms:created xsi:type="dcterms:W3CDTF">2015-06-05T18:19:34Z</dcterms:created>
  <dcterms:modified xsi:type="dcterms:W3CDTF">2024-04-02T18:05:48Z</dcterms:modified>
  <cp:category/>
  <cp:contentStatus/>
</cp:coreProperties>
</file>